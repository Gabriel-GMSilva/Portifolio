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-Gamer\Documents\Cursos\DIO\Excel\Modulo 4\Base xbox - Desafio de codigo\"/>
    </mc:Choice>
  </mc:AlternateContent>
  <xr:revisionPtr revIDLastSave="0" documentId="13_ncr:1_{E914CDF8-1781-4F3D-8B7B-5C6C743D3561}" xr6:coauthVersionLast="47" xr6:coauthVersionMax="47" xr10:uidLastSave="{00000000-0000-0000-0000-000000000000}"/>
  <bookViews>
    <workbookView xWindow="28680" yWindow="-150" windowWidth="29040" windowHeight="158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3" l="1"/>
  <c r="E22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<sst xmlns="http://schemas.openxmlformats.org/spreadsheetml/2006/main" count="2022" uniqueCount="324">
  <si>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</si>
  <si>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</si>
  <si>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</si>
  <si>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</si>
  <si>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</si>
  <si>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</si>
  <si>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</si>
  <si>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</si>
  <si>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</si>
  <si>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</si>
  <si>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</si>
  <si>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</si>
  <si>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</si>
  <si>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</si>
  <si>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</si>
  <si>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</si>
  <si>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</si>
  <si>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</si>
  <si>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</si>
  <si>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</si>
  <si>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</si>
  <si>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</si>
  <si>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</si>
  <si>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</si>
  <si>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</si>
  <si>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</si>
  <si>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</si>
  <si>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</si>
  <si>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</si>
  <si>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</si>
  <si>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</si>
  <si>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</si>
  <si>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</si>
  <si>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</si>
  <si>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</si>
  <si>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</si>
  <si>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</si>
  <si>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</si>
  <si>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</si>
  <si>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</si>
  <si>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</si>
  <si>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</si>
  <si>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</si>
  <si>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</si>
  <si>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</si>
  <si>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</si>
  <si>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</si>
  <si>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</si>
  <si>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</si>
  <si>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</si>
  <si>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</si>
  <si>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</si>
  <si>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</si>
  <si>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</si>
  <si>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</si>
  <si>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</si>
  <si>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</si>
  <si>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</si>
  <si>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</si>
  <si>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</si>
  <si>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</si>
  <si>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</si>
  <si>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</si>
  <si>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</si>
  <si>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</si>
  <si>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</si>
  <si>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</si>
  <si>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</si>
  <si>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</si>
  <si>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</si>
  <si>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</si>
  <si>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</si>
  <si>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</si>
  <si>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</si>
  <si>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</si>
  <si>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</si>
  <si>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</si>
  <si>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</si>
  <si>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</si>
  <si>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</si>
  <si>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</si>
  <si>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</si>
  <si>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</si>
  <si>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</si>
  <si>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</si>
  <si>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</si>
  <si>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</si>
  <si>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</si>
  <si>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</si>
  <si>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</si>
  <si>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</si>
  <si>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</si>
  <si>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</si>
  <si>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</si>
  <si>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</si>
  <si>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</si>
  <si>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</si>
  <si>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</si>
  <si>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</si>
  <si>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</si>
  <si>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</si>
  <si>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</si>
  <si>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</si>
  <si>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</si>
  <si>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</si>
  <si>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</si>
  <si>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</si>
  <si>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</si>
  <si>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</si>
  <si>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</si>
  <si>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</si>
  <si>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</si>
  <si>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</si>
  <si>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</si>
  <si>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</si>
  <si>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</si>
  <si>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</si>
  <si>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</si>
  <si>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</si>
  <si>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</si>
  <si>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</si>
  <si>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</si>
  <si>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</si>
  <si>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</si>
  <si>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</si>
  <si>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</si>
  <si>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</si>
  <si>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</si>
  <si>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</si>
  <si>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</si>
  <si>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</si>
  <si>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</si>
  <si>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</si>
  <si>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</si>
  <si>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</si>
  <si>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</si>
  <si>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</si>
  <si>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</si>
  <si>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</si>
  <si>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</si>
  <si>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</si>
  <si>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</si>
  <si>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</si>
  <si>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</si>
  <si>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</si>
  <si>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</si>
  <si>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</si>
  <si>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</si>
  <si>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</si>
  <si>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</si>
  <si>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</si>
  <si>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</si>
  <si>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</si>
  <si>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</si>
  <si>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</si>
  <si>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</si>
  <si>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</si>
  <si>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</si>
  <si>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</si>
  <si>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</si>
  <si>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</si>
  <si>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</si>
  <si>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</si>
  <si>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</si>
  <si>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</si>
  <si>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</si>
  <si>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</si>
  <si>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</si>
  <si>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</si>
  <si>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</si>
  <si>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</si>
  <si>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</si>
  <si>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</si>
  <si>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</si>
  <si>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</si>
  <si>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</si>
  <si>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</si>
  <si>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</si>
  <si>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</si>
  <si>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</si>
  <si>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</si>
  <si>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</si>
  <si>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</si>
  <si>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</si>
  <si>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</si>
  <si>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</si>
  <si>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</si>
  <si>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</si>
  <si>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</si>
  <si>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</si>
  <si>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</si>
  <si>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</si>
  <si>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</si>
  <si>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</si>
  <si>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</si>
  <si>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</si>
  <si>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</si>
  <si>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</si>
  <si>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</si>
  <si>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</si>
  <si>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</si>
  <si>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</si>
  <si>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</si>
  <si>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</si>
  <si>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</si>
  <si>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</si>
  <si>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</si>
  <si>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</si>
  <si>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</si>
  <si>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</si>
  <si>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</si>
  <si>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</si>
  <si>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</si>
  <si>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</si>
  <si>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</si>
  <si>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</si>
  <si>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</si>
  <si>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</si>
  <si>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</si>
  <si>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</si>
  <si>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</si>
  <si>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</si>
  <si>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</si>
  <si>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</si>
  <si>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</si>
  <si>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</si>
  <si>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</si>
  <si>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</si>
  <si>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</si>
  <si>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</si>
  <si>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</si>
  <si>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</si>
  <si>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</si>
  <si>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</si>
  <si>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</si>
  <si>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</si>
  <si>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</si>
  <si>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</si>
  <si>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</si>
  <si>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</si>
  <si>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</si>
  <si>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</si>
  <si>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</si>
  <si>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</si>
  <si>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</si>
  <si>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</si>
  <si>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</si>
  <si>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</si>
  <si>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</si>
  <si>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</si>
  <si>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</si>
  <si>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</si>
  <si>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</si>
  <si>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</si>
  <si>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</si>
  <si>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</si>
  <si>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</si>
  <si>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</si>
  <si>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</si>
  <si>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</si>
  <si>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</si>
  <si>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</si>
  <si>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</si>
  <si>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</si>
  <si>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</si>
  <si>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</si>
  <si>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</si>
  <si>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</si>
  <si>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</si>
  <si>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</si>
  <si>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</si>
  <si>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</si>
  <si>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</si>
  <si>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</si>
  <si>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</si>
  <si>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</si>
  <si>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</si>
  <si>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</si>
  <si>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</si>
  <si>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</si>
  <si>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</si>
  <si>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</si>
  <si>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</si>
  <si>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</si>
  <si>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</si>
  <si>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</si>
  <si>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</si>
  <si>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</si>
  <si>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</si>
  <si>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</si>
  <si>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</si>
  <si>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</si>
  <si>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</si>
  <si>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</si>
  <si>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</si>
  <si>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</si>
  <si>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</si>
  <si>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</si>
  <si>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</si>
  <si>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</si>
  <si>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</si>
  <si>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</si>
  <si>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</si>
  <si>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</si>
  <si>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</si>
  <si>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</si>
  <si>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</si>
  <si>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</si>
  <si>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</si>
  <si>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</si>
  <si>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</si>
  <si>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</si>
  <si>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</si>
  <si>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Informação é uma pergunta de negócio respondida atrabés de alguma análise de dado específica</t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</si>
  <si>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 xml:space="preserve">planos anuais </t>
    </r>
    <r>
      <rPr>
        <sz val="11"/>
        <color theme="1"/>
        <rFont val="Aptos Narrow"/>
        <family val="2"/>
        <scheme val="minor"/>
      </rPr>
      <t>(contendo todas as assinaturas agregadas)?</t>
    </r>
  </si>
  <si>
    <r>
      <t xml:space="preserve">Pergunta de Negócio 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e não auto renovação?</t>
    </r>
  </si>
  <si>
    <t>Soma de Total Value</t>
  </si>
  <si>
    <t>Rótulos de Linha</t>
  </si>
  <si>
    <t>Total Geral</t>
  </si>
  <si>
    <t>XBOX GAME PASS SUBSCRIPTIONS SALES</t>
  </si>
  <si>
    <t>Soma de EA Play Season Pass</t>
  </si>
  <si>
    <t>Pergunta de Negócio 4 - Total de Vendas de Assinaturas do Minecraft Seaons Pass</t>
  </si>
  <si>
    <t>Pergunta de Negócio 3 - Total de Vendas de Assinaturas do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</si>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</sst>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8" borderId="0" xfId="0" applyFill="1" applyAlignment="1">
      <alignment horizontal="center"/>
    </xf>
    <xf numFmtId="0" fontId="4" fillId="0" borderId="2" xfId="1" applyFont="1" applyBorder="1"/>
    <xf numFmtId="0" fontId="0" fillId="0" borderId="0" xfId="0" applyNumberFormat="1"/>
    <xf numFmtId="165" fontId="0" fillId="0" borderId="0" xfId="0" applyNumberFormat="1"/>
    <xf numFmtId="0" fontId="5" fillId="0" borderId="2" xfId="1" applyFont="1" applyBorder="1" applyAlignment="1">
      <alignment horizontal="left" indent="5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B31A01EF-CBCF-4769-86A7-8E7E2AFF53F1}">
      <tableStyleElement type="wholeTable" dxfId="1"/>
      <tableStyleElement type="headerRow" dxfId="0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8-4E9B-AF6D-CCEC7C1F6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3773464"/>
        <c:axId val="693769864"/>
      </c:barChart>
      <c:catAx>
        <c:axId val="693773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3769864"/>
        <c:crosses val="autoZero"/>
        <c:auto val="1"/>
        <c:lblAlgn val="ctr"/>
        <c:lblOffset val="100"/>
        <c:noMultiLvlLbl val="0"/>
      </c:catAx>
      <c:valAx>
        <c:axId val="69376986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937734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126206</xdr:colOff>
      <xdr:row>1</xdr:row>
      <xdr:rowOff>54769</xdr:rowOff>
    </xdr:from>
    <xdr:to>
      <xdr:col>2</xdr:col>
      <xdr:colOff>495300</xdr:colOff>
      <xdr:row>2</xdr:row>
      <xdr:rowOff>175360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AB1E08-E772-4E6F-927A-B5C2D0A8DD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6676" b="-10870"/>
        <a:stretch>
          <a:fillRect/>
        </a:stretch>
      </xdr:blipFill>
      <xdr:spPr>
        <a:xfrm>
          <a:off x="1983581" y="245269"/>
          <a:ext cx="607219" cy="615891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80963</xdr:rowOff>
    </xdr:from>
    <xdr:to>
      <xdr:col>0</xdr:col>
      <xdr:colOff>1828800</xdr:colOff>
      <xdr:row>19</xdr:row>
      <xdr:rowOff>45245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B8D15950-233E-43D2-B43A-9FF381C5FF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3771"/>
              <a:ext cx="1828800" cy="26679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178593</xdr:colOff>
      <xdr:row>5</xdr:row>
      <xdr:rowOff>71437</xdr:rowOff>
    </xdr:from>
    <xdr:to>
      <xdr:col>10</xdr:col>
      <xdr:colOff>95251</xdr:colOff>
      <xdr:row>15</xdr:row>
      <xdr:rowOff>35719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74D338EC-C631-FF4A-CBC0-D9D579C87E1C}"/>
            </a:ext>
          </a:extLst>
        </xdr:cNvPr>
        <xdr:cNvGrpSpPr/>
      </xdr:nvGrpSpPr>
      <xdr:grpSpPr>
        <a:xfrm>
          <a:off x="2039631" y="1309687"/>
          <a:ext cx="5023524" cy="2030474"/>
          <a:chOff x="2035968" y="1262062"/>
          <a:chExt cx="5012533" cy="2024063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559A47D5-B8D8-353C-D5BC-AAB51C73E17C}"/>
              </a:ext>
            </a:extLst>
          </xdr:cNvPr>
          <xdr:cNvSpPr/>
        </xdr:nvSpPr>
        <xdr:spPr>
          <a:xfrm>
            <a:off x="2035968" y="1273970"/>
            <a:ext cx="5000626" cy="2012155"/>
          </a:xfrm>
          <a:prstGeom prst="roundRect">
            <a:avLst>
              <a:gd name="adj" fmla="val 674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2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9A2E4FD2-85D3-403B-A146-5F7B422717B6}"/>
              </a:ext>
            </a:extLst>
          </xdr:cNvPr>
          <xdr:cNvSpPr/>
        </xdr:nvSpPr>
        <xdr:spPr>
          <a:xfrm>
            <a:off x="3214688" y="2114549"/>
            <a:ext cx="3667124" cy="1071563"/>
          </a:xfrm>
          <a:prstGeom prst="roundRect">
            <a:avLst>
              <a:gd name="adj" fmla="val 674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A93B0B3-C09E-4287-B0C3-176E6319D294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6E860DE5-FAC8-451E-9767-9CCAB67995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64594" y="2071686"/>
            <a:ext cx="1219200" cy="1157289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2815B739-F07E-4ACA-DFAE-3A18F59CF104}"/>
              </a:ext>
            </a:extLst>
          </xdr:cNvPr>
          <xdr:cNvSpPr/>
        </xdr:nvSpPr>
        <xdr:spPr>
          <a:xfrm>
            <a:off x="2035969" y="1262062"/>
            <a:ext cx="5012532" cy="55959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 editAs="absolute">
    <xdr:from>
      <xdr:col>10</xdr:col>
      <xdr:colOff>450055</xdr:colOff>
      <xdr:row>5</xdr:row>
      <xdr:rowOff>71437</xdr:rowOff>
    </xdr:from>
    <xdr:to>
      <xdr:col>19</xdr:col>
      <xdr:colOff>164307</xdr:colOff>
      <xdr:row>15</xdr:row>
      <xdr:rowOff>35719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0CA0D4E5-C469-FADF-DCAC-7FEA419FE2C3}"/>
            </a:ext>
          </a:extLst>
        </xdr:cNvPr>
        <xdr:cNvGrpSpPr/>
      </xdr:nvGrpSpPr>
      <xdr:grpSpPr>
        <a:xfrm>
          <a:off x="7417959" y="1309687"/>
          <a:ext cx="5018944" cy="2030474"/>
          <a:chOff x="7403305" y="1283494"/>
          <a:chExt cx="5012533" cy="2024063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8EBD8DE5-3C88-4865-B4CD-CF31E6E91DEE}"/>
              </a:ext>
            </a:extLst>
          </xdr:cNvPr>
          <xdr:cNvGrpSpPr/>
        </xdr:nvGrpSpPr>
        <xdr:grpSpPr>
          <a:xfrm>
            <a:off x="7403305" y="1283494"/>
            <a:ext cx="5012533" cy="2024063"/>
            <a:chOff x="2035968" y="1262062"/>
            <a:chExt cx="5012533" cy="2024063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1520D500-219F-E86E-ECDA-F4D5A35F58A4}"/>
                </a:ext>
              </a:extLst>
            </xdr:cNvPr>
            <xdr:cNvSpPr/>
          </xdr:nvSpPr>
          <xdr:spPr>
            <a:xfrm>
              <a:off x="2035968" y="1273970"/>
              <a:ext cx="5000626" cy="2012155"/>
            </a:xfrm>
            <a:prstGeom prst="roundRect">
              <a:avLst>
                <a:gd name="adj" fmla="val 674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4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0A2412EA-A42E-11BB-3896-649E03BBE089}"/>
                </a:ext>
              </a:extLst>
            </xdr:cNvPr>
            <xdr:cNvSpPr/>
          </xdr:nvSpPr>
          <xdr:spPr>
            <a:xfrm>
              <a:off x="3214688" y="2114549"/>
              <a:ext cx="3667124" cy="1071563"/>
            </a:xfrm>
            <a:prstGeom prst="roundRect">
              <a:avLst>
                <a:gd name="adj" fmla="val 6746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D76DC88-8962-4AD6-BABD-C28554B34895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t>R$ 940,00</a:t>
              </a:fld>
              <a:endParaRPr lang="pt-BR" sz="36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37CFDD93-2FBA-99B6-D2DE-D63C5167FEB3}"/>
                </a:ext>
              </a:extLst>
            </xdr:cNvPr>
            <xdr:cNvSpPr/>
          </xdr:nvSpPr>
          <xdr:spPr>
            <a:xfrm>
              <a:off x="2035969" y="1262062"/>
              <a:ext cx="5012532" cy="559594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453C40E7-B58A-430B-8912-5A9A501DE61D}"/>
              </a:ext>
            </a:extLst>
          </xdr:cNvPr>
          <xdr:cNvGrpSpPr/>
        </xdr:nvGrpSpPr>
        <xdr:grpSpPr>
          <a:xfrm>
            <a:off x="7536657" y="2190750"/>
            <a:ext cx="1549476" cy="752476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15347C4F-D92B-3C7F-D2B6-EB3C5BB726E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D5C8DDA2-1B54-69CA-ADDF-7AB2F0D8A5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154779</xdr:colOff>
      <xdr:row>16</xdr:row>
      <xdr:rowOff>57150</xdr:rowOff>
    </xdr:from>
    <xdr:to>
      <xdr:col>19</xdr:col>
      <xdr:colOff>190500</xdr:colOff>
      <xdr:row>34</xdr:row>
      <xdr:rowOff>128590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2087C675-E193-DF99-BF47-DF05A01D68F6}"/>
            </a:ext>
          </a:extLst>
        </xdr:cNvPr>
        <xdr:cNvGrpSpPr/>
      </xdr:nvGrpSpPr>
      <xdr:grpSpPr>
        <a:xfrm>
          <a:off x="2015817" y="3552092"/>
          <a:ext cx="10447279" cy="3500440"/>
          <a:chOff x="1964529" y="3829050"/>
          <a:chExt cx="10465596" cy="350044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946BCE58-D9E0-31B0-FC88-9892D6693FBF}"/>
              </a:ext>
            </a:extLst>
          </xdr:cNvPr>
          <xdr:cNvGrpSpPr/>
        </xdr:nvGrpSpPr>
        <xdr:grpSpPr>
          <a:xfrm>
            <a:off x="1964529" y="3840977"/>
            <a:ext cx="10465596" cy="3488513"/>
            <a:chOff x="2683750" y="1197589"/>
            <a:chExt cx="4381500" cy="271517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35E90035-21A1-53C2-4FC7-89FC7C0E771E}"/>
                </a:ext>
              </a:extLst>
            </xdr:cNvPr>
            <xdr:cNvSpPr/>
          </xdr:nvSpPr>
          <xdr:spPr>
            <a:xfrm>
              <a:off x="2683750" y="1197589"/>
              <a:ext cx="4381500" cy="2619375"/>
            </a:xfrm>
            <a:prstGeom prst="roundRect">
              <a:avLst>
                <a:gd name="adj" fmla="val 600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E7FA3A2-4F7A-4847-B6F7-75694F574C51}"/>
                </a:ext>
              </a:extLst>
            </xdr:cNvPr>
            <xdr:cNvGraphicFramePr>
              <a:graphicFrameLocks/>
            </xdr:cNvGraphicFramePr>
          </xdr:nvGraphicFramePr>
          <xdr:xfrm>
            <a:off x="2793528" y="1373429"/>
            <a:ext cx="4262667" cy="253933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28EA1C41-6D3F-45F1-8E84-54CD4DB65F72}"/>
              </a:ext>
            </a:extLst>
          </xdr:cNvPr>
          <xdr:cNvSpPr/>
        </xdr:nvSpPr>
        <xdr:spPr>
          <a:xfrm>
            <a:off x="1964530" y="3829050"/>
            <a:ext cx="10465594" cy="55959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 PASS</a:t>
            </a:r>
          </a:p>
        </xdr:txBody>
      </xdr:sp>
    </xdr:grpSp>
    <xdr:clientData/>
  </xdr:twoCellAnchor>
  <xdr:twoCellAnchor editAs="absolute">
    <xdr:from>
      <xdr:col>0</xdr:col>
      <xdr:colOff>581025</xdr:colOff>
      <xdr:row>1</xdr:row>
      <xdr:rowOff>38100</xdr:rowOff>
    </xdr:from>
    <xdr:to>
      <xdr:col>0</xdr:col>
      <xdr:colOff>1276350</xdr:colOff>
      <xdr:row>2</xdr:row>
      <xdr:rowOff>238125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AC0E7DCC-C442-438D-B952-F7A3C3231A78}"/>
            </a:ext>
          </a:extLst>
        </xdr:cNvPr>
        <xdr:cNvSpPr/>
      </xdr:nvSpPr>
      <xdr:spPr>
        <a:xfrm>
          <a:off x="581025" y="22860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142875</xdr:colOff>
      <xdr:row>3</xdr:row>
      <xdr:rowOff>57150</xdr:rowOff>
    </xdr:from>
    <xdr:to>
      <xdr:col>0</xdr:col>
      <xdr:colOff>1581150</xdr:colOff>
      <xdr:row>5</xdr:row>
      <xdr:rowOff>47625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2BA5E879-727B-219A-A01B-ABD754A4FF1A}"/>
            </a:ext>
          </a:extLst>
        </xdr:cNvPr>
        <xdr:cNvSpPr/>
      </xdr:nvSpPr>
      <xdr:spPr>
        <a:xfrm>
          <a:off x="142875" y="1066800"/>
          <a:ext cx="1438275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&gt; Bem</a:t>
          </a:r>
          <a:r>
            <a:rPr lang="pt-BR" sz="1100" baseline="0"/>
            <a:t> vinda, Liana</a:t>
          </a:r>
          <a:endParaRPr lang="pt-BR" sz="1100"/>
        </a:p>
      </xdr:txBody>
    </xdr:sp>
    <xdr:clientData/>
  </xdr:twoCellAnchor>
  <xdr:twoCellAnchor editAs="absolute">
    <xdr:from>
      <xdr:col>1</xdr:col>
      <xdr:colOff>57150</xdr:colOff>
      <xdr:row>3</xdr:row>
      <xdr:rowOff>9526</xdr:rowOff>
    </xdr:from>
    <xdr:to>
      <xdr:col>10</xdr:col>
      <xdr:colOff>133350</xdr:colOff>
      <xdr:row>4</xdr:row>
      <xdr:rowOff>123826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F6DE622D-CD48-4DB3-8D42-DBC030233EDD}"/>
            </a:ext>
          </a:extLst>
        </xdr:cNvPr>
        <xdr:cNvSpPr/>
      </xdr:nvSpPr>
      <xdr:spPr>
        <a:xfrm>
          <a:off x="1914525" y="1019176"/>
          <a:ext cx="5191125" cy="209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50000"/>
                </a:schemeClr>
              </a:solidFill>
            </a:rPr>
            <a:t>Calculation period: 01/01/2024</a:t>
          </a:r>
          <a:r>
            <a:rPr lang="pt-BR" sz="1100" baseline="0">
              <a:solidFill>
                <a:schemeClr val="bg1">
                  <a:lumMod val="50000"/>
                </a:schemeClr>
              </a:solidFill>
            </a:rPr>
            <a:t> - 31/12/2024 | Update date: 23/09/2025 17:48</a:t>
          </a:r>
          <a:endParaRPr lang="pt-BR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-Gamer" refreshedDate="45921.625267939817" createdVersion="8" refreshedVersion="8" minRefreshableVersion="3" recordCount="295" xr:uid="{7CAAAC43-9F3C-4B84-B67F-BA4B14590A5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211136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x v="0"/>
    <x v="0"/>
    <s v="Yes"/>
    <x v="0"/>
    <s v="Yes"/>
    <n v="20"/>
    <n v="5"/>
    <n v="60"/>
  </r>
  <r>
    <n v="3232"/>
    <s v="Maria Oliveira"/>
    <x v="1"/>
    <d v="2024-01-15T00:00:00"/>
    <x v="1"/>
    <x v="1"/>
    <x v="1"/>
    <s v="No"/>
    <x v="1"/>
    <s v="No"/>
    <n v="0"/>
    <n v="0"/>
    <n v="5"/>
  </r>
  <r>
    <n v="3233"/>
    <s v="Lucas Fernandes"/>
    <x v="2"/>
    <d v="2024-02-10T00:00:00"/>
    <x v="0"/>
    <x v="2"/>
    <x v="2"/>
    <s v="No"/>
    <x v="1"/>
    <s v="Yes"/>
    <n v="20"/>
    <n v="10"/>
    <n v="20"/>
  </r>
  <r>
    <n v="3234"/>
    <s v="Ana Souza"/>
    <x v="0"/>
    <d v="2024-02-20T00:00:00"/>
    <x v="1"/>
    <x v="0"/>
    <x v="0"/>
    <s v="Yes"/>
    <x v="0"/>
    <s v="Yes"/>
    <n v="20"/>
    <n v="3"/>
    <n v="62"/>
  </r>
  <r>
    <n v="3235"/>
    <s v="Pedro Gonçalves"/>
    <x v="1"/>
    <d v="2024-03-05T00:00:00"/>
    <x v="0"/>
    <x v="1"/>
    <x v="0"/>
    <s v="No"/>
    <x v="1"/>
    <s v="No"/>
    <n v="0"/>
    <n v="1"/>
    <n v="4"/>
  </r>
  <r>
    <n v="3236"/>
    <s v="Felipe Costa"/>
    <x v="2"/>
    <d v="2024-03-02T00:00:00"/>
    <x v="1"/>
    <x v="2"/>
    <x v="0"/>
    <s v="No"/>
    <x v="1"/>
    <s v="Yes"/>
    <n v="20"/>
    <n v="2"/>
    <n v="28"/>
  </r>
  <r>
    <n v="3237"/>
    <s v="Camila Ribeiro"/>
    <x v="0"/>
    <d v="2024-03-03T00:00:00"/>
    <x v="0"/>
    <x v="0"/>
    <x v="2"/>
    <s v="Yes"/>
    <x v="0"/>
    <s v="Yes"/>
    <n v="20"/>
    <n v="10"/>
    <n v="55"/>
  </r>
  <r>
    <n v="3238"/>
    <s v="André Mendes"/>
    <x v="1"/>
    <d v="2024-03-04T00:00:00"/>
    <x v="0"/>
    <x v="1"/>
    <x v="1"/>
    <s v="No"/>
    <x v="1"/>
    <s v="No"/>
    <n v="0"/>
    <n v="0"/>
    <n v="5"/>
  </r>
  <r>
    <n v="3239"/>
    <s v="Sofia Almeida"/>
    <x v="0"/>
    <d v="2024-03-05T00:00:00"/>
    <x v="1"/>
    <x v="0"/>
    <x v="0"/>
    <s v="Yes"/>
    <x v="0"/>
    <s v="Yes"/>
    <n v="20"/>
    <n v="5"/>
    <n v="60"/>
  </r>
  <r>
    <n v="3240"/>
    <s v="Bruno Martins"/>
    <x v="2"/>
    <d v="2024-03-06T00:00:00"/>
    <x v="0"/>
    <x v="2"/>
    <x v="2"/>
    <s v="No"/>
    <x v="1"/>
    <s v="Yes"/>
    <n v="20"/>
    <n v="15"/>
    <n v="15"/>
  </r>
  <r>
    <n v="3241"/>
    <s v="Rita Castro"/>
    <x v="1"/>
    <d v="2024-03-07T00:00:00"/>
    <x v="1"/>
    <x v="1"/>
    <x v="0"/>
    <s v="No"/>
    <x v="1"/>
    <s v="No"/>
    <n v="0"/>
    <n v="1"/>
    <n v="4"/>
  </r>
  <r>
    <n v="3242"/>
    <s v="Marco Túlio"/>
    <x v="0"/>
    <d v="2024-03-08T00:00:00"/>
    <x v="0"/>
    <x v="0"/>
    <x v="1"/>
    <s v="Yes"/>
    <x v="0"/>
    <s v="Yes"/>
    <n v="20"/>
    <n v="20"/>
    <n v="45"/>
  </r>
  <r>
    <n v="3243"/>
    <s v="Lívia Silveira"/>
    <x v="2"/>
    <d v="2024-03-09T00:00:00"/>
    <x v="1"/>
    <x v="2"/>
    <x v="0"/>
    <s v="No"/>
    <x v="1"/>
    <s v="Yes"/>
    <n v="20"/>
    <n v="10"/>
    <n v="20"/>
  </r>
  <r>
    <n v="3244"/>
    <s v="Diogo Sousa"/>
    <x v="1"/>
    <d v="2024-03-10T00:00:00"/>
    <x v="0"/>
    <x v="1"/>
    <x v="2"/>
    <s v="No"/>
    <x v="1"/>
    <s v="No"/>
    <n v="0"/>
    <n v="0"/>
    <n v="5"/>
  </r>
  <r>
    <n v="3245"/>
    <s v="Fernanda Lima"/>
    <x v="0"/>
    <d v="2024-03-11T00:00:00"/>
    <x v="1"/>
    <x v="0"/>
    <x v="0"/>
    <s v="Yes"/>
    <x v="0"/>
    <s v="Yes"/>
    <n v="20"/>
    <n v="8"/>
    <n v="57"/>
  </r>
  <r>
    <n v="3246"/>
    <s v="Caio Pereira"/>
    <x v="2"/>
    <d v="2024-03-12T00:00:00"/>
    <x v="0"/>
    <x v="2"/>
    <x v="1"/>
    <s v="No"/>
    <x v="1"/>
    <s v="Yes"/>
    <n v="20"/>
    <n v="12"/>
    <n v="18"/>
  </r>
  <r>
    <n v="3247"/>
    <s v="Beatriz Gomes"/>
    <x v="1"/>
    <d v="2024-03-13T00:00:00"/>
    <x v="1"/>
    <x v="1"/>
    <x v="0"/>
    <s v="No"/>
    <x v="1"/>
    <s v="No"/>
    <n v="0"/>
    <n v="2"/>
    <n v="3"/>
  </r>
  <r>
    <n v="3248"/>
    <s v="Cesar Oliveira"/>
    <x v="0"/>
    <d v="2024-03-14T00:00:00"/>
    <x v="0"/>
    <x v="0"/>
    <x v="2"/>
    <s v="Yes"/>
    <x v="0"/>
    <s v="Yes"/>
    <n v="20"/>
    <n v="7"/>
    <n v="58"/>
  </r>
  <r>
    <n v="3249"/>
    <s v="Débora Machado"/>
    <x v="2"/>
    <d v="2024-03-15T00:00:00"/>
    <x v="1"/>
    <x v="2"/>
    <x v="0"/>
    <s v="No"/>
    <x v="1"/>
    <s v="Yes"/>
    <n v="20"/>
    <n v="5"/>
    <n v="25"/>
  </r>
  <r>
    <n v="3250"/>
    <s v="Eduardo Vargas"/>
    <x v="1"/>
    <d v="2024-03-16T00:00:00"/>
    <x v="0"/>
    <x v="1"/>
    <x v="1"/>
    <s v="No"/>
    <x v="1"/>
    <s v="No"/>
    <n v="0"/>
    <n v="0"/>
    <n v="5"/>
  </r>
  <r>
    <n v="3251"/>
    <s v="Gabriela Santos"/>
    <x v="0"/>
    <d v="2024-03-17T00:00:00"/>
    <x v="1"/>
    <x v="0"/>
    <x v="0"/>
    <s v="Yes"/>
    <x v="0"/>
    <s v="Yes"/>
    <n v="20"/>
    <n v="3"/>
    <n v="62"/>
  </r>
  <r>
    <n v="3252"/>
    <s v="Henrique Dias"/>
    <x v="2"/>
    <d v="2024-03-18T00:00:00"/>
    <x v="0"/>
    <x v="2"/>
    <x v="2"/>
    <s v="No"/>
    <x v="1"/>
    <s v="Yes"/>
    <n v="20"/>
    <n v="15"/>
    <n v="15"/>
  </r>
  <r>
    <n v="3253"/>
    <s v="Isabela Moreira"/>
    <x v="1"/>
    <d v="2024-03-19T00:00:00"/>
    <x v="1"/>
    <x v="1"/>
    <x v="0"/>
    <s v="No"/>
    <x v="1"/>
    <s v="No"/>
    <n v="0"/>
    <n v="1"/>
    <n v="4"/>
  </r>
  <r>
    <n v="3254"/>
    <s v="Joaquim Barbosa"/>
    <x v="0"/>
    <d v="2024-03-20T00:00:00"/>
    <x v="0"/>
    <x v="0"/>
    <x v="1"/>
    <s v="Yes"/>
    <x v="0"/>
    <s v="Yes"/>
    <n v="20"/>
    <n v="20"/>
    <n v="45"/>
  </r>
  <r>
    <n v="3255"/>
    <s v="Lara Rocha"/>
    <x v="2"/>
    <d v="2024-03-21T00:00:00"/>
    <x v="1"/>
    <x v="2"/>
    <x v="0"/>
    <s v="No"/>
    <x v="1"/>
    <s v="Yes"/>
    <n v="20"/>
    <n v="10"/>
    <n v="20"/>
  </r>
  <r>
    <n v="3256"/>
    <s v="Matheus Silva"/>
    <x v="1"/>
    <d v="2024-03-22T00:00:00"/>
    <x v="0"/>
    <x v="1"/>
    <x v="2"/>
    <s v="No"/>
    <x v="1"/>
    <s v="No"/>
    <n v="0"/>
    <n v="0"/>
    <n v="5"/>
  </r>
  <r>
    <n v="3257"/>
    <s v="Nicole Costa"/>
    <x v="0"/>
    <d v="2024-03-23T00:00:00"/>
    <x v="1"/>
    <x v="0"/>
    <x v="0"/>
    <s v="Yes"/>
    <x v="0"/>
    <s v="Yes"/>
    <n v="20"/>
    <n v="5"/>
    <n v="60"/>
  </r>
  <r>
    <n v="3258"/>
    <s v="Otávio Mendonça"/>
    <x v="2"/>
    <d v="2024-03-24T00:00:00"/>
    <x v="0"/>
    <x v="2"/>
    <x v="1"/>
    <s v="No"/>
    <x v="1"/>
    <s v="Yes"/>
    <n v="20"/>
    <n v="15"/>
    <n v="15"/>
  </r>
  <r>
    <n v="3259"/>
    <s v="Paula Ferreira"/>
    <x v="1"/>
    <d v="2024-03-25T00:00:00"/>
    <x v="1"/>
    <x v="1"/>
    <x v="0"/>
    <s v="No"/>
    <x v="1"/>
    <s v="No"/>
    <n v="0"/>
    <n v="1"/>
    <n v="4"/>
  </r>
  <r>
    <n v="3260"/>
    <s v="Raquel Alves"/>
    <x v="0"/>
    <d v="2024-03-26T00:00:00"/>
    <x v="0"/>
    <x v="0"/>
    <x v="2"/>
    <s v="Yes"/>
    <x v="0"/>
    <s v="Yes"/>
    <n v="20"/>
    <n v="7"/>
    <n v="58"/>
  </r>
  <r>
    <n v="3261"/>
    <s v="Samuel Pires"/>
    <x v="2"/>
    <d v="2024-03-27T00:00:00"/>
    <x v="1"/>
    <x v="2"/>
    <x v="0"/>
    <s v="No"/>
    <x v="1"/>
    <s v="Yes"/>
    <n v="20"/>
    <n v="10"/>
    <n v="20"/>
  </r>
  <r>
    <n v="3262"/>
    <s v="Tânia Barros"/>
    <x v="1"/>
    <d v="2024-03-28T00:00:00"/>
    <x v="0"/>
    <x v="1"/>
    <x v="1"/>
    <s v="No"/>
    <x v="1"/>
    <s v="No"/>
    <n v="0"/>
    <n v="0"/>
    <n v="5"/>
  </r>
  <r>
    <n v="3263"/>
    <s v="Vinicius Lima"/>
    <x v="0"/>
    <d v="2024-03-29T00:00:00"/>
    <x v="1"/>
    <x v="0"/>
    <x v="0"/>
    <s v="Yes"/>
    <x v="0"/>
    <s v="Yes"/>
    <n v="20"/>
    <n v="3"/>
    <n v="62"/>
  </r>
  <r>
    <n v="3264"/>
    <s v="Yasmin Teixeira"/>
    <x v="2"/>
    <d v="2024-03-30T00:00:00"/>
    <x v="0"/>
    <x v="2"/>
    <x v="2"/>
    <s v="No"/>
    <x v="1"/>
    <s v="Yes"/>
    <n v="20"/>
    <n v="15"/>
    <n v="15"/>
  </r>
  <r>
    <n v="3265"/>
    <s v="Zé Carlos"/>
    <x v="1"/>
    <d v="2024-03-31T00:00:00"/>
    <x v="1"/>
    <x v="1"/>
    <x v="0"/>
    <s v="No"/>
    <x v="1"/>
    <s v="No"/>
    <n v="0"/>
    <n v="1"/>
    <n v="4"/>
  </r>
  <r>
    <n v="3266"/>
    <s v="Amanda Nogueira"/>
    <x v="1"/>
    <d v="2024-04-01T00:00:00"/>
    <x v="0"/>
    <x v="1"/>
    <x v="0"/>
    <s v="No"/>
    <x v="1"/>
    <s v="No"/>
    <n v="0"/>
    <n v="0"/>
    <n v="5"/>
  </r>
  <r>
    <n v="3267"/>
    <s v="Bruno Cavalheiro"/>
    <x v="0"/>
    <d v="2024-04-02T00:00:00"/>
    <x v="1"/>
    <x v="0"/>
    <x v="2"/>
    <s v="Yes"/>
    <x v="0"/>
    <s v="Yes"/>
    <n v="20"/>
    <n v="7"/>
    <n v="58"/>
  </r>
  <r>
    <n v="3268"/>
    <s v="Carla Dias"/>
    <x v="2"/>
    <d v="2024-04-03T00:00:00"/>
    <x v="0"/>
    <x v="2"/>
    <x v="1"/>
    <s v="No"/>
    <x v="1"/>
    <s v="Yes"/>
    <n v="20"/>
    <n v="10"/>
    <n v="20"/>
  </r>
  <r>
    <n v="3269"/>
    <s v="Diego Fontes"/>
    <x v="1"/>
    <d v="2024-04-04T00:00:00"/>
    <x v="1"/>
    <x v="1"/>
    <x v="2"/>
    <s v="No"/>
    <x v="1"/>
    <s v="No"/>
    <n v="0"/>
    <n v="1"/>
    <n v="4"/>
  </r>
  <r>
    <n v="3270"/>
    <s v="Eunice Lima"/>
    <x v="0"/>
    <d v="2024-04-05T00:00:00"/>
    <x v="0"/>
    <x v="0"/>
    <x v="0"/>
    <s v="Yes"/>
    <x v="0"/>
    <s v="Yes"/>
    <n v="20"/>
    <n v="15"/>
    <n v="50"/>
  </r>
  <r>
    <n v="3271"/>
    <s v="Fábio Martins"/>
    <x v="2"/>
    <d v="2024-04-06T00:00:00"/>
    <x v="1"/>
    <x v="2"/>
    <x v="0"/>
    <s v="No"/>
    <x v="1"/>
    <s v="Yes"/>
    <n v="20"/>
    <n v="5"/>
    <n v="25"/>
  </r>
  <r>
    <n v="3272"/>
    <s v="Gisele Araújo"/>
    <x v="1"/>
    <d v="2024-04-07T00:00:00"/>
    <x v="0"/>
    <x v="1"/>
    <x v="1"/>
    <s v="No"/>
    <x v="1"/>
    <s v="No"/>
    <n v="0"/>
    <n v="0"/>
    <n v="5"/>
  </r>
  <r>
    <n v="3273"/>
    <s v="Hélio Castro"/>
    <x v="0"/>
    <d v="2024-04-08T00:00:00"/>
    <x v="1"/>
    <x v="0"/>
    <x v="2"/>
    <s v="Yes"/>
    <x v="0"/>
    <s v="Yes"/>
    <n v="20"/>
    <n v="20"/>
    <n v="45"/>
  </r>
  <r>
    <n v="3274"/>
    <s v="Ingrid Menezes"/>
    <x v="2"/>
    <d v="2024-04-09T00:00:00"/>
    <x v="0"/>
    <x v="2"/>
    <x v="2"/>
    <s v="No"/>
    <x v="1"/>
    <s v="Yes"/>
    <n v="20"/>
    <n v="12"/>
    <n v="18"/>
  </r>
  <r>
    <n v="3275"/>
    <s v="Jorge Baptista"/>
    <x v="1"/>
    <d v="2024-04-10T00:00:00"/>
    <x v="1"/>
    <x v="1"/>
    <x v="0"/>
    <s v="No"/>
    <x v="1"/>
    <s v="No"/>
    <n v="0"/>
    <n v="2"/>
    <n v="3"/>
  </r>
  <r>
    <n v="3276"/>
    <s v="Kléber Oliveira"/>
    <x v="0"/>
    <d v="2024-04-11T00:00:00"/>
    <x v="0"/>
    <x v="0"/>
    <x v="1"/>
    <s v="Yes"/>
    <x v="0"/>
    <s v="Yes"/>
    <n v="20"/>
    <n v="5"/>
    <n v="60"/>
  </r>
  <r>
    <n v="3277"/>
    <s v="Luciana Freitas"/>
    <x v="2"/>
    <d v="2024-04-12T00:00:00"/>
    <x v="1"/>
    <x v="2"/>
    <x v="0"/>
    <s v="No"/>
    <x v="1"/>
    <s v="Yes"/>
    <n v="20"/>
    <n v="10"/>
    <n v="20"/>
  </r>
  <r>
    <n v="3278"/>
    <s v="Márcia Eller"/>
    <x v="1"/>
    <d v="2024-04-13T00:00:00"/>
    <x v="0"/>
    <x v="1"/>
    <x v="2"/>
    <s v="No"/>
    <x v="1"/>
    <s v="No"/>
    <n v="0"/>
    <n v="0"/>
    <n v="5"/>
  </r>
  <r>
    <n v="3279"/>
    <s v="Nilo Peçanha"/>
    <x v="0"/>
    <d v="2024-04-14T00:00:00"/>
    <x v="1"/>
    <x v="0"/>
    <x v="0"/>
    <s v="Yes"/>
    <x v="0"/>
    <s v="Yes"/>
    <n v="20"/>
    <n v="3"/>
    <n v="62"/>
  </r>
  <r>
    <n v="3280"/>
    <s v="Oscar Neves"/>
    <x v="2"/>
    <d v="2024-04-15T00:00:00"/>
    <x v="0"/>
    <x v="2"/>
    <x v="1"/>
    <s v="No"/>
    <x v="1"/>
    <s v="Yes"/>
    <n v="20"/>
    <n v="15"/>
    <n v="15"/>
  </r>
  <r>
    <n v="3281"/>
    <s v="Patrícia Soares"/>
    <x v="1"/>
    <d v="2024-04-16T00:00:00"/>
    <x v="1"/>
    <x v="1"/>
    <x v="0"/>
    <s v="No"/>
    <x v="1"/>
    <s v="No"/>
    <n v="0"/>
    <n v="1"/>
    <n v="4"/>
  </r>
  <r>
    <n v="3282"/>
    <s v="Quirino Gonçalves"/>
    <x v="0"/>
    <d v="2024-04-17T00:00:00"/>
    <x v="0"/>
    <x v="0"/>
    <x v="2"/>
    <s v="Yes"/>
    <x v="0"/>
    <s v="Yes"/>
    <n v="20"/>
    <n v="7"/>
    <n v="58"/>
  </r>
  <r>
    <n v="3283"/>
    <s v="Raul Machado"/>
    <x v="2"/>
    <d v="2024-04-18T00:00:00"/>
    <x v="1"/>
    <x v="2"/>
    <x v="0"/>
    <s v="No"/>
    <x v="1"/>
    <s v="Yes"/>
    <n v="20"/>
    <n v="10"/>
    <n v="20"/>
  </r>
  <r>
    <n v="3284"/>
    <s v="Sônia Lobo"/>
    <x v="1"/>
    <d v="2024-04-19T00:00:00"/>
    <x v="0"/>
    <x v="1"/>
    <x v="1"/>
    <s v="No"/>
    <x v="1"/>
    <s v="No"/>
    <n v="0"/>
    <n v="0"/>
    <n v="5"/>
  </r>
  <r>
    <n v="3285"/>
    <s v="Tiago Ramos"/>
    <x v="0"/>
    <d v="2024-04-20T00:00:00"/>
    <x v="1"/>
    <x v="0"/>
    <x v="0"/>
    <s v="Yes"/>
    <x v="0"/>
    <s v="Yes"/>
    <n v="20"/>
    <n v="20"/>
    <n v="45"/>
  </r>
  <r>
    <n v="3286"/>
    <s v="Ugo Pires"/>
    <x v="2"/>
    <d v="2024-04-21T00:00:00"/>
    <x v="0"/>
    <x v="2"/>
    <x v="2"/>
    <s v="No"/>
    <x v="1"/>
    <s v="Yes"/>
    <n v="20"/>
    <n v="15"/>
    <n v="15"/>
  </r>
  <r>
    <n v="3287"/>
    <s v="Valéria Nobre"/>
    <x v="1"/>
    <d v="2024-04-22T00:00:00"/>
    <x v="1"/>
    <x v="1"/>
    <x v="0"/>
    <s v="No"/>
    <x v="1"/>
    <s v="No"/>
    <n v="0"/>
    <n v="1"/>
    <n v="4"/>
  </r>
  <r>
    <n v="3288"/>
    <s v="William Siqueira"/>
    <x v="0"/>
    <d v="2024-04-23T00:00:00"/>
    <x v="0"/>
    <x v="0"/>
    <x v="1"/>
    <s v="Yes"/>
    <x v="0"/>
    <s v="Yes"/>
    <n v="20"/>
    <n v="3"/>
    <n v="62"/>
  </r>
  <r>
    <n v="3289"/>
    <s v="Xuxa Meneghel"/>
    <x v="2"/>
    <d v="2024-04-24T00:00:00"/>
    <x v="1"/>
    <x v="2"/>
    <x v="0"/>
    <s v="No"/>
    <x v="1"/>
    <s v="Yes"/>
    <n v="20"/>
    <n v="10"/>
    <n v="20"/>
  </r>
  <r>
    <n v="3290"/>
    <s v="Yara Figueiredo"/>
    <x v="1"/>
    <d v="2024-04-25T00:00:00"/>
    <x v="0"/>
    <x v="1"/>
    <x v="2"/>
    <s v="No"/>
    <x v="1"/>
    <s v="No"/>
    <n v="0"/>
    <n v="0"/>
    <n v="5"/>
  </r>
  <r>
    <n v="3291"/>
    <s v="Zacarias Alves"/>
    <x v="0"/>
    <d v="2024-04-26T00:00:00"/>
    <x v="1"/>
    <x v="0"/>
    <x v="0"/>
    <s v="Yes"/>
    <x v="0"/>
    <s v="Yes"/>
    <n v="20"/>
    <n v="5"/>
    <n v="60"/>
  </r>
  <r>
    <n v="3292"/>
    <s v="Amanda Bynes"/>
    <x v="2"/>
    <d v="2024-04-27T00:00:00"/>
    <x v="0"/>
    <x v="2"/>
    <x v="1"/>
    <s v="No"/>
    <x v="1"/>
    <s v="Yes"/>
    <n v="20"/>
    <n v="15"/>
    <n v="15"/>
  </r>
  <r>
    <n v="3293"/>
    <s v="Bruno Mars"/>
    <x v="1"/>
    <d v="2024-04-28T00:00:00"/>
    <x v="1"/>
    <x v="1"/>
    <x v="0"/>
    <s v="No"/>
    <x v="1"/>
    <s v="No"/>
    <n v="0"/>
    <n v="1"/>
    <n v="4"/>
  </r>
  <r>
    <n v="3294"/>
    <s v="Carla Bruni"/>
    <x v="0"/>
    <d v="2024-04-29T00:00:00"/>
    <x v="0"/>
    <x v="0"/>
    <x v="2"/>
    <s v="Yes"/>
    <x v="0"/>
    <s v="Yes"/>
    <n v="20"/>
    <n v="20"/>
    <n v="45"/>
  </r>
  <r>
    <n v="3295"/>
    <s v="Diego Maradona"/>
    <x v="2"/>
    <d v="2024-04-30T00:00:00"/>
    <x v="1"/>
    <x v="2"/>
    <x v="0"/>
    <s v="No"/>
    <x v="1"/>
    <s v="Yes"/>
    <n v="20"/>
    <n v="5"/>
    <n v="25"/>
  </r>
  <r>
    <n v="3296"/>
    <s v="Estela Marques"/>
    <x v="1"/>
    <d v="2024-05-01T00:00:00"/>
    <x v="1"/>
    <x v="1"/>
    <x v="0"/>
    <s v="No"/>
    <x v="1"/>
    <s v="No"/>
    <n v="0"/>
    <n v="0"/>
    <n v="5"/>
  </r>
  <r>
    <n v="3297"/>
    <s v="Fábio Nobre"/>
    <x v="0"/>
    <d v="2024-05-02T00:00:00"/>
    <x v="0"/>
    <x v="0"/>
    <x v="2"/>
    <s v="Yes"/>
    <x v="0"/>
    <s v="Yes"/>
    <n v="20"/>
    <n v="7"/>
    <n v="58"/>
  </r>
  <r>
    <n v="3298"/>
    <s v="Gabriel Oliveira"/>
    <x v="2"/>
    <d v="2024-05-03T00:00:00"/>
    <x v="1"/>
    <x v="2"/>
    <x v="1"/>
    <s v="No"/>
    <x v="1"/>
    <s v="Yes"/>
    <n v="20"/>
    <n v="10"/>
    <n v="20"/>
  </r>
  <r>
    <n v="3299"/>
    <s v="Helena Santos"/>
    <x v="1"/>
    <d v="2024-05-04T00:00:00"/>
    <x v="0"/>
    <x v="1"/>
    <x v="2"/>
    <s v="No"/>
    <x v="1"/>
    <s v="No"/>
    <n v="0"/>
    <n v="1"/>
    <n v="4"/>
  </r>
  <r>
    <n v="3300"/>
    <s v="Ivan Carvalho"/>
    <x v="0"/>
    <d v="2024-05-05T00:00:00"/>
    <x v="1"/>
    <x v="0"/>
    <x v="0"/>
    <s v="Yes"/>
    <x v="0"/>
    <s v="Yes"/>
    <n v="20"/>
    <n v="15"/>
    <n v="50"/>
  </r>
  <r>
    <n v="3301"/>
    <s v="Júlia Ferreira"/>
    <x v="2"/>
    <d v="2024-05-06T00:00:00"/>
    <x v="0"/>
    <x v="2"/>
    <x v="0"/>
    <s v="No"/>
    <x v="1"/>
    <s v="Yes"/>
    <n v="20"/>
    <n v="5"/>
    <n v="25"/>
  </r>
  <r>
    <n v="3302"/>
    <s v="Karla Alves"/>
    <x v="1"/>
    <d v="2024-05-07T00:00:00"/>
    <x v="1"/>
    <x v="1"/>
    <x v="1"/>
    <s v="No"/>
    <x v="1"/>
    <s v="No"/>
    <n v="0"/>
    <n v="0"/>
    <n v="5"/>
  </r>
  <r>
    <n v="3303"/>
    <s v="Lucas Mendes"/>
    <x v="0"/>
    <d v="2024-05-08T00:00:00"/>
    <x v="0"/>
    <x v="0"/>
    <x v="2"/>
    <s v="Yes"/>
    <x v="0"/>
    <s v="Yes"/>
    <n v="20"/>
    <n v="20"/>
    <n v="45"/>
  </r>
  <r>
    <n v="3304"/>
    <s v="Mônica Gomes"/>
    <x v="2"/>
    <d v="2024-05-09T00:00:00"/>
    <x v="1"/>
    <x v="2"/>
    <x v="2"/>
    <s v="No"/>
    <x v="1"/>
    <s v="Yes"/>
    <n v="20"/>
    <n v="12"/>
    <n v="18"/>
  </r>
  <r>
    <n v="3305"/>
    <s v="Norberto Queiroz"/>
    <x v="1"/>
    <d v="2024-05-10T00:00:00"/>
    <x v="0"/>
    <x v="1"/>
    <x v="0"/>
    <s v="No"/>
    <x v="1"/>
    <s v="No"/>
    <n v="0"/>
    <n v="2"/>
    <n v="3"/>
  </r>
  <r>
    <n v="3306"/>
    <s v="Otávio Barros"/>
    <x v="0"/>
    <d v="2024-05-11T00:00:00"/>
    <x v="1"/>
    <x v="0"/>
    <x v="1"/>
    <s v="Yes"/>
    <x v="0"/>
    <s v="Yes"/>
    <n v="20"/>
    <n v="5"/>
    <n v="60"/>
  </r>
  <r>
    <n v="3307"/>
    <s v="Paula Vieira"/>
    <x v="2"/>
    <d v="2024-05-12T00:00:00"/>
    <x v="0"/>
    <x v="2"/>
    <x v="0"/>
    <s v="No"/>
    <x v="1"/>
    <s v="Yes"/>
    <n v="20"/>
    <n v="10"/>
    <n v="20"/>
  </r>
  <r>
    <n v="3308"/>
    <s v="Quentin Ramos"/>
    <x v="1"/>
    <d v="2024-05-13T00:00:00"/>
    <x v="1"/>
    <x v="1"/>
    <x v="2"/>
    <s v="No"/>
    <x v="1"/>
    <s v="No"/>
    <n v="0"/>
    <n v="0"/>
    <n v="5"/>
  </r>
  <r>
    <n v="3309"/>
    <s v="Raquel Novaes"/>
    <x v="0"/>
    <d v="2024-05-14T00:00:00"/>
    <x v="0"/>
    <x v="0"/>
    <x v="0"/>
    <s v="Yes"/>
    <x v="0"/>
    <s v="Yes"/>
    <n v="20"/>
    <n v="3"/>
    <n v="62"/>
  </r>
  <r>
    <n v="3310"/>
    <s v="Samantha Lopes"/>
    <x v="2"/>
    <d v="2024-05-15T00:00:00"/>
    <x v="1"/>
    <x v="2"/>
    <x v="1"/>
    <s v="No"/>
    <x v="1"/>
    <s v="Yes"/>
    <n v="20"/>
    <n v="15"/>
    <n v="15"/>
  </r>
  <r>
    <n v="3311"/>
    <s v="Tiago Martins"/>
    <x v="1"/>
    <d v="2024-05-16T00:00:00"/>
    <x v="0"/>
    <x v="1"/>
    <x v="0"/>
    <s v="No"/>
    <x v="1"/>
    <s v="No"/>
    <n v="0"/>
    <n v="1"/>
    <n v="4"/>
  </r>
  <r>
    <n v="3312"/>
    <s v="Ulysses Guimarães"/>
    <x v="0"/>
    <d v="2024-05-17T00:00:00"/>
    <x v="1"/>
    <x v="0"/>
    <x v="2"/>
    <s v="Yes"/>
    <x v="0"/>
    <s v="Yes"/>
    <n v="20"/>
    <n v="7"/>
    <n v="58"/>
  </r>
  <r>
    <n v="3313"/>
    <s v="Vanessa Silva"/>
    <x v="2"/>
    <d v="2024-05-18T00:00:00"/>
    <x v="0"/>
    <x v="2"/>
    <x v="0"/>
    <s v="No"/>
    <x v="1"/>
    <s v="Yes"/>
    <n v="20"/>
    <n v="10"/>
    <n v="20"/>
  </r>
  <r>
    <n v="3314"/>
    <s v="William Carneiro"/>
    <x v="1"/>
    <d v="2024-05-19T00:00:00"/>
    <x v="1"/>
    <x v="1"/>
    <x v="1"/>
    <s v="No"/>
    <x v="1"/>
    <s v="No"/>
    <n v="0"/>
    <n v="0"/>
    <n v="5"/>
  </r>
  <r>
    <n v="3315"/>
    <s v="Ximena Rocha"/>
    <x v="0"/>
    <d v="2024-05-20T00:00:00"/>
    <x v="0"/>
    <x v="0"/>
    <x v="0"/>
    <s v="Yes"/>
    <x v="0"/>
    <s v="Yes"/>
    <n v="20"/>
    <n v="20"/>
    <n v="45"/>
  </r>
  <r>
    <n v="3316"/>
    <s v="Yasmin Figueiredo"/>
    <x v="2"/>
    <d v="2024-05-21T00:00:00"/>
    <x v="1"/>
    <x v="2"/>
    <x v="2"/>
    <s v="No"/>
    <x v="1"/>
    <s v="Yes"/>
    <n v="20"/>
    <n v="15"/>
    <n v="15"/>
  </r>
  <r>
    <n v="3317"/>
    <s v="Zara Cunha"/>
    <x v="1"/>
    <d v="2024-05-22T00:00:00"/>
    <x v="0"/>
    <x v="1"/>
    <x v="0"/>
    <s v="No"/>
    <x v="1"/>
    <s v="No"/>
    <n v="0"/>
    <n v="1"/>
    <n v="4"/>
  </r>
  <r>
    <n v="3318"/>
    <s v="Alan Teixeira"/>
    <x v="0"/>
    <d v="2024-05-23T00:00:00"/>
    <x v="1"/>
    <x v="0"/>
    <x v="1"/>
    <s v="Yes"/>
    <x v="0"/>
    <s v="Yes"/>
    <n v="20"/>
    <n v="3"/>
    <n v="62"/>
  </r>
  <r>
    <n v="3319"/>
    <s v="Bárbara Oliveira"/>
    <x v="2"/>
    <d v="2024-05-24T00:00:00"/>
    <x v="0"/>
    <x v="2"/>
    <x v="0"/>
    <s v="No"/>
    <x v="1"/>
    <s v="Yes"/>
    <n v="20"/>
    <n v="10"/>
    <n v="20"/>
  </r>
  <r>
    <n v="3320"/>
    <s v="Carlos Junqueira"/>
    <x v="1"/>
    <d v="2024-05-25T00:00:00"/>
    <x v="1"/>
    <x v="1"/>
    <x v="2"/>
    <s v="No"/>
    <x v="1"/>
    <s v="No"/>
    <n v="0"/>
    <n v="0"/>
    <n v="5"/>
  </r>
  <r>
    <n v="3321"/>
    <s v="Daniela Moura"/>
    <x v="0"/>
    <d v="2024-05-26T00:00:00"/>
    <x v="0"/>
    <x v="0"/>
    <x v="0"/>
    <s v="Yes"/>
    <x v="0"/>
    <s v="Yes"/>
    <n v="20"/>
    <n v="5"/>
    <n v="60"/>
  </r>
  <r>
    <n v="3322"/>
    <s v="Eduardo Lima"/>
    <x v="2"/>
    <d v="2024-05-27T00:00:00"/>
    <x v="1"/>
    <x v="2"/>
    <x v="1"/>
    <s v="No"/>
    <x v="1"/>
    <s v="Yes"/>
    <n v="20"/>
    <n v="15"/>
    <n v="15"/>
  </r>
  <r>
    <n v="3323"/>
    <s v="Fabiana Araújo"/>
    <x v="1"/>
    <d v="2024-05-28T00:00:00"/>
    <x v="0"/>
    <x v="1"/>
    <x v="0"/>
    <s v="No"/>
    <x v="1"/>
    <s v="No"/>
    <n v="0"/>
    <n v="1"/>
    <n v="4"/>
  </r>
  <r>
    <n v="3324"/>
    <s v="Geraldo Ribeiro"/>
    <x v="0"/>
    <d v="2024-05-29T00:00:00"/>
    <x v="1"/>
    <x v="0"/>
    <x v="2"/>
    <s v="Yes"/>
    <x v="0"/>
    <s v="Yes"/>
    <n v="20"/>
    <n v="20"/>
    <n v="45"/>
  </r>
  <r>
    <n v="3325"/>
    <s v="Héctor Vargas"/>
    <x v="2"/>
    <d v="2024-05-30T00:00:00"/>
    <x v="0"/>
    <x v="2"/>
    <x v="2"/>
    <s v="No"/>
    <x v="1"/>
    <s v="Yes"/>
    <n v="20"/>
    <n v="15"/>
    <n v="15"/>
  </r>
  <r>
    <n v="3326"/>
    <s v="Isabela Fonseca"/>
    <x v="1"/>
    <d v="2024-05-31T00:00:00"/>
    <x v="1"/>
    <x v="1"/>
    <x v="1"/>
    <s v="No"/>
    <x v="1"/>
    <s v="No"/>
    <n v="0"/>
    <n v="0"/>
    <n v="5"/>
  </r>
  <r>
    <n v="3327"/>
    <s v="João Pedro Almeida"/>
    <x v="0"/>
    <d v="2024-06-01T00:00:00"/>
    <x v="0"/>
    <x v="0"/>
    <x v="0"/>
    <s v="Yes"/>
    <x v="0"/>
    <s v="Yes"/>
    <n v="20"/>
    <n v="7"/>
    <n v="58"/>
  </r>
  <r>
    <n v="3328"/>
    <s v="Klara Costa"/>
    <x v="2"/>
    <d v="2024-06-02T00:00:00"/>
    <x v="1"/>
    <x v="2"/>
    <x v="1"/>
    <s v="No"/>
    <x v="1"/>
    <s v="Yes"/>
    <n v="20"/>
    <n v="10"/>
    <n v="20"/>
  </r>
  <r>
    <n v="3329"/>
    <s v="Luciana Mendes"/>
    <x v="1"/>
    <d v="2024-06-03T00:00:00"/>
    <x v="0"/>
    <x v="1"/>
    <x v="2"/>
    <s v="No"/>
    <x v="1"/>
    <s v="No"/>
    <n v="0"/>
    <n v="1"/>
    <n v="4"/>
  </r>
  <r>
    <n v="3330"/>
    <s v="Marcelo Gouveia"/>
    <x v="0"/>
    <d v="2024-06-04T00:00:00"/>
    <x v="1"/>
    <x v="0"/>
    <x v="0"/>
    <s v="Yes"/>
    <x v="0"/>
    <s v="Yes"/>
    <n v="20"/>
    <n v="15"/>
    <n v="50"/>
  </r>
  <r>
    <n v="3331"/>
    <s v="Nívea Borges"/>
    <x v="2"/>
    <d v="2024-06-05T00:00:00"/>
    <x v="0"/>
    <x v="2"/>
    <x v="0"/>
    <s v="No"/>
    <x v="1"/>
    <s v="Yes"/>
    <n v="20"/>
    <n v="5"/>
    <n v="25"/>
  </r>
  <r>
    <n v="3332"/>
    <s v="Oscar Nogueira"/>
    <x v="1"/>
    <d v="2024-06-06T00:00:00"/>
    <x v="1"/>
    <x v="1"/>
    <x v="1"/>
    <s v="No"/>
    <x v="1"/>
    <s v="No"/>
    <n v="0"/>
    <n v="0"/>
    <n v="5"/>
  </r>
  <r>
    <n v="3333"/>
    <s v="Patrícia Alves"/>
    <x v="0"/>
    <d v="2024-06-07T00:00:00"/>
    <x v="0"/>
    <x v="0"/>
    <x v="2"/>
    <s v="Yes"/>
    <x v="0"/>
    <s v="Yes"/>
    <n v="20"/>
    <n v="20"/>
    <n v="45"/>
  </r>
  <r>
    <n v="3334"/>
    <s v="Rafaela Silva"/>
    <x v="2"/>
    <d v="2024-06-08T00:00:00"/>
    <x v="1"/>
    <x v="2"/>
    <x v="2"/>
    <s v="No"/>
    <x v="1"/>
    <s v="Yes"/>
    <n v="20"/>
    <n v="12"/>
    <n v="18"/>
  </r>
  <r>
    <n v="3335"/>
    <s v="Samantha Moraes"/>
    <x v="1"/>
    <d v="2024-06-09T00:00:00"/>
    <x v="0"/>
    <x v="1"/>
    <x v="0"/>
    <s v="No"/>
    <x v="1"/>
    <s v="No"/>
    <n v="0"/>
    <n v="2"/>
    <n v="3"/>
  </r>
  <r>
    <n v="3336"/>
    <s v="Tatiana Rocha"/>
    <x v="1"/>
    <d v="2024-06-10T00:00:00"/>
    <x v="0"/>
    <x v="1"/>
    <x v="0"/>
    <s v="No"/>
    <x v="1"/>
    <s v="No"/>
    <n v="0"/>
    <n v="0"/>
    <n v="5"/>
  </r>
  <r>
    <n v="3337"/>
    <s v="Ulisses Tavares"/>
    <x v="0"/>
    <d v="2024-06-11T00:00:00"/>
    <x v="1"/>
    <x v="0"/>
    <x v="2"/>
    <s v="Yes"/>
    <x v="0"/>
    <s v="Yes"/>
    <n v="20"/>
    <n v="7"/>
    <n v="58"/>
  </r>
  <r>
    <n v="3338"/>
    <s v="Víctor Lemos"/>
    <x v="2"/>
    <d v="2024-06-12T00:00:00"/>
    <x v="0"/>
    <x v="2"/>
    <x v="1"/>
    <s v="No"/>
    <x v="1"/>
    <s v="Yes"/>
    <n v="20"/>
    <n v="10"/>
    <n v="20"/>
  </r>
  <r>
    <n v="3339"/>
    <s v="Wilma Barros"/>
    <x v="1"/>
    <d v="2024-06-13T00:00:00"/>
    <x v="1"/>
    <x v="1"/>
    <x v="2"/>
    <s v="No"/>
    <x v="1"/>
    <s v="No"/>
    <n v="0"/>
    <n v="1"/>
    <n v="4"/>
  </r>
  <r>
    <n v="3340"/>
    <s v="Xavier Nascimento"/>
    <x v="0"/>
    <d v="2024-06-14T00:00:00"/>
    <x v="0"/>
    <x v="0"/>
    <x v="0"/>
    <s v="Yes"/>
    <x v="0"/>
    <s v="Yes"/>
    <n v="20"/>
    <n v="15"/>
    <n v="50"/>
  </r>
  <r>
    <n v="3341"/>
    <s v="Yago Pereira"/>
    <x v="2"/>
    <d v="2024-06-15T00:00:00"/>
    <x v="1"/>
    <x v="2"/>
    <x v="0"/>
    <s v="No"/>
    <x v="1"/>
    <s v="Yes"/>
    <n v="20"/>
    <n v="5"/>
    <n v="25"/>
  </r>
  <r>
    <n v="3342"/>
    <s v="Zilda Ferreira"/>
    <x v="1"/>
    <d v="2024-06-16T00:00:00"/>
    <x v="0"/>
    <x v="1"/>
    <x v="1"/>
    <s v="No"/>
    <x v="1"/>
    <s v="No"/>
    <n v="0"/>
    <n v="0"/>
    <n v="5"/>
  </r>
  <r>
    <n v="3343"/>
    <s v="Amanda Lopes"/>
    <x v="0"/>
    <d v="2024-06-17T00:00:00"/>
    <x v="1"/>
    <x v="0"/>
    <x v="2"/>
    <s v="Yes"/>
    <x v="0"/>
    <s v="Yes"/>
    <n v="20"/>
    <n v="20"/>
    <n v="45"/>
  </r>
  <r>
    <n v="3344"/>
    <s v="Bruno Miranda"/>
    <x v="2"/>
    <d v="2024-06-18T00:00:00"/>
    <x v="0"/>
    <x v="2"/>
    <x v="2"/>
    <s v="No"/>
    <x v="1"/>
    <s v="Yes"/>
    <n v="20"/>
    <n v="12"/>
    <n v="18"/>
  </r>
  <r>
    <n v="3345"/>
    <s v="Célia Torres"/>
    <x v="1"/>
    <d v="2024-06-19T00:00:00"/>
    <x v="1"/>
    <x v="1"/>
    <x v="0"/>
    <s v="No"/>
    <x v="1"/>
    <s v="No"/>
    <n v="0"/>
    <n v="2"/>
    <n v="3"/>
  </r>
  <r>
    <n v="3346"/>
    <s v="Diogo Souza"/>
    <x v="0"/>
    <d v="2024-06-20T00:00:00"/>
    <x v="0"/>
    <x v="0"/>
    <x v="1"/>
    <s v="Yes"/>
    <x v="0"/>
    <s v="Yes"/>
    <n v="20"/>
    <n v="5"/>
    <n v="60"/>
  </r>
  <r>
    <n v="3347"/>
    <s v="Elisa Castro"/>
    <x v="2"/>
    <d v="2024-06-21T00:00:00"/>
    <x v="1"/>
    <x v="2"/>
    <x v="0"/>
    <s v="No"/>
    <x v="1"/>
    <s v="Yes"/>
    <n v="20"/>
    <n v="10"/>
    <n v="20"/>
  </r>
  <r>
    <n v="3348"/>
    <s v="Fátima Lima"/>
    <x v="1"/>
    <d v="2024-06-22T00:00:00"/>
    <x v="0"/>
    <x v="1"/>
    <x v="2"/>
    <s v="No"/>
    <x v="1"/>
    <s v="No"/>
    <n v="0"/>
    <n v="0"/>
    <n v="5"/>
  </r>
  <r>
    <n v="3349"/>
    <s v="Geraldo Ribeiro"/>
    <x v="0"/>
    <d v="2024-06-23T00:00:00"/>
    <x v="1"/>
    <x v="0"/>
    <x v="0"/>
    <s v="Yes"/>
    <x v="0"/>
    <s v="Yes"/>
    <n v="20"/>
    <n v="3"/>
    <n v="62"/>
  </r>
  <r>
    <n v="3350"/>
    <s v="Hélio Martins"/>
    <x v="2"/>
    <d v="2024-06-24T00:00:00"/>
    <x v="0"/>
    <x v="2"/>
    <x v="1"/>
    <s v="No"/>
    <x v="1"/>
    <s v="Yes"/>
    <n v="20"/>
    <n v="15"/>
    <n v="15"/>
  </r>
  <r>
    <n v="3351"/>
    <s v="Íris Santos"/>
    <x v="1"/>
    <d v="2024-06-25T00:00:00"/>
    <x v="1"/>
    <x v="1"/>
    <x v="0"/>
    <s v="No"/>
    <x v="1"/>
    <s v="No"/>
    <n v="0"/>
    <n v="1"/>
    <n v="4"/>
  </r>
  <r>
    <n v="3352"/>
    <s v="João Marcelo"/>
    <x v="0"/>
    <d v="2024-06-26T00:00:00"/>
    <x v="0"/>
    <x v="0"/>
    <x v="2"/>
    <s v="Yes"/>
    <x v="0"/>
    <s v="Yes"/>
    <n v="20"/>
    <n v="7"/>
    <n v="58"/>
  </r>
  <r>
    <n v="3353"/>
    <s v="Larissa Gomes"/>
    <x v="2"/>
    <d v="2024-06-27T00:00:00"/>
    <x v="1"/>
    <x v="2"/>
    <x v="0"/>
    <s v="No"/>
    <x v="1"/>
    <s v="Yes"/>
    <n v="20"/>
    <n v="10"/>
    <n v="20"/>
  </r>
  <r>
    <n v="3354"/>
    <s v="Márcio Silva"/>
    <x v="1"/>
    <d v="2024-06-28T00:00:00"/>
    <x v="0"/>
    <x v="1"/>
    <x v="1"/>
    <s v="No"/>
    <x v="1"/>
    <s v="No"/>
    <n v="0"/>
    <n v="0"/>
    <n v="5"/>
  </r>
  <r>
    <n v="3355"/>
    <s v="Nadia Costa"/>
    <x v="0"/>
    <d v="2024-06-29T00:00:00"/>
    <x v="1"/>
    <x v="0"/>
    <x v="0"/>
    <s v="Yes"/>
    <x v="0"/>
    <s v="Yes"/>
    <n v="20"/>
    <n v="20"/>
    <n v="45"/>
  </r>
  <r>
    <n v="3356"/>
    <s v="Oscar Almeida"/>
    <x v="2"/>
    <d v="2024-06-30T00:00:00"/>
    <x v="0"/>
    <x v="2"/>
    <x v="2"/>
    <s v="No"/>
    <x v="1"/>
    <s v="Yes"/>
    <n v="20"/>
    <n v="15"/>
    <n v="15"/>
  </r>
  <r>
    <n v="3357"/>
    <s v="Patricia Soares"/>
    <x v="1"/>
    <d v="2024-07-01T00:00:00"/>
    <x v="1"/>
    <x v="1"/>
    <x v="0"/>
    <s v="No"/>
    <x v="1"/>
    <s v="No"/>
    <n v="0"/>
    <n v="1"/>
    <n v="4"/>
  </r>
  <r>
    <n v="3358"/>
    <s v="Quênia Barros"/>
    <x v="0"/>
    <d v="2024-07-02T00:00:00"/>
    <x v="0"/>
    <x v="0"/>
    <x v="1"/>
    <s v="Yes"/>
    <x v="0"/>
    <s v="Yes"/>
    <n v="20"/>
    <n v="3"/>
    <n v="62"/>
  </r>
  <r>
    <n v="3359"/>
    <s v="Rafael Torres"/>
    <x v="2"/>
    <d v="2024-07-03T00:00:00"/>
    <x v="1"/>
    <x v="2"/>
    <x v="0"/>
    <s v="No"/>
    <x v="1"/>
    <s v="Yes"/>
    <n v="20"/>
    <n v="10"/>
    <n v="20"/>
  </r>
  <r>
    <n v="3360"/>
    <s v="Silvia Nascimento"/>
    <x v="1"/>
    <d v="2024-07-04T00:00:00"/>
    <x v="0"/>
    <x v="1"/>
    <x v="2"/>
    <s v="No"/>
    <x v="1"/>
    <s v="No"/>
    <n v="0"/>
    <n v="0"/>
    <n v="5"/>
  </r>
  <r>
    <n v="3361"/>
    <s v="Tiago Mendes"/>
    <x v="0"/>
    <d v="2024-07-05T00:00:00"/>
    <x v="1"/>
    <x v="0"/>
    <x v="0"/>
    <s v="Yes"/>
    <x v="0"/>
    <s v="Yes"/>
    <n v="20"/>
    <n v="15"/>
    <n v="50"/>
  </r>
  <r>
    <n v="3362"/>
    <s v="Ursula Silva"/>
    <x v="2"/>
    <d v="2024-07-06T00:00:00"/>
    <x v="0"/>
    <x v="2"/>
    <x v="1"/>
    <s v="No"/>
    <x v="1"/>
    <s v="Yes"/>
    <n v="20"/>
    <n v="15"/>
    <n v="15"/>
  </r>
  <r>
    <n v="3363"/>
    <s v="Vanessa Moraes"/>
    <x v="1"/>
    <d v="2024-07-07T00:00:00"/>
    <x v="1"/>
    <x v="1"/>
    <x v="0"/>
    <s v="No"/>
    <x v="1"/>
    <s v="No"/>
    <n v="0"/>
    <n v="1"/>
    <n v="4"/>
  </r>
  <r>
    <n v="3364"/>
    <s v="Waldir Junior"/>
    <x v="0"/>
    <d v="2024-07-08T00:00:00"/>
    <x v="0"/>
    <x v="0"/>
    <x v="2"/>
    <s v="Yes"/>
    <x v="0"/>
    <s v="Yes"/>
    <n v="20"/>
    <n v="7"/>
    <n v="58"/>
  </r>
  <r>
    <n v="3365"/>
    <s v="Xavier Lopes"/>
    <x v="2"/>
    <d v="2024-07-09T00:00:00"/>
    <x v="1"/>
    <x v="2"/>
    <x v="0"/>
    <s v="No"/>
    <x v="1"/>
    <s v="Yes"/>
    <n v="20"/>
    <n v="10"/>
    <n v="20"/>
  </r>
  <r>
    <n v="3366"/>
    <s v="Yolanda Freitas"/>
    <x v="1"/>
    <d v="2024-07-10T00:00:00"/>
    <x v="0"/>
    <x v="1"/>
    <x v="0"/>
    <s v="No"/>
    <x v="1"/>
    <s v="No"/>
    <n v="0"/>
    <n v="0"/>
    <n v="5"/>
  </r>
  <r>
    <n v="3367"/>
    <s v="Zacarias Nunes"/>
    <x v="0"/>
    <d v="2024-07-11T00:00:00"/>
    <x v="1"/>
    <x v="0"/>
    <x v="2"/>
    <s v="Yes"/>
    <x v="0"/>
    <s v="Yes"/>
    <n v="20"/>
    <n v="7"/>
    <n v="58"/>
  </r>
  <r>
    <n v="3368"/>
    <s v="Ana Clara Barreto"/>
    <x v="2"/>
    <d v="2024-07-12T00:00:00"/>
    <x v="0"/>
    <x v="2"/>
    <x v="1"/>
    <s v="No"/>
    <x v="1"/>
    <s v="Yes"/>
    <n v="20"/>
    <n v="10"/>
    <n v="20"/>
  </r>
  <r>
    <n v="3369"/>
    <s v="Bruno Henrique"/>
    <x v="1"/>
    <d v="2024-07-13T00:00:00"/>
    <x v="1"/>
    <x v="1"/>
    <x v="2"/>
    <s v="No"/>
    <x v="1"/>
    <s v="No"/>
    <n v="0"/>
    <n v="1"/>
    <n v="4"/>
  </r>
  <r>
    <n v="3370"/>
    <s v="Carlos Eduardo"/>
    <x v="0"/>
    <d v="2024-07-14T00:00:00"/>
    <x v="0"/>
    <x v="0"/>
    <x v="0"/>
    <s v="Yes"/>
    <x v="0"/>
    <s v="Yes"/>
    <n v="20"/>
    <n v="15"/>
    <n v="50"/>
  </r>
  <r>
    <n v="3371"/>
    <s v="Débora Lima"/>
    <x v="2"/>
    <d v="2024-07-15T00:00:00"/>
    <x v="1"/>
    <x v="2"/>
    <x v="0"/>
    <s v="No"/>
    <x v="1"/>
    <s v="Yes"/>
    <n v="20"/>
    <n v="5"/>
    <n v="25"/>
  </r>
  <r>
    <n v="3372"/>
    <s v="Elisa Neves"/>
    <x v="1"/>
    <d v="2024-07-16T00:00:00"/>
    <x v="0"/>
    <x v="1"/>
    <x v="1"/>
    <s v="No"/>
    <x v="1"/>
    <s v="No"/>
    <n v="0"/>
    <n v="0"/>
    <n v="5"/>
  </r>
  <r>
    <n v="3373"/>
    <s v="Fabiano Gomes"/>
    <x v="0"/>
    <d v="2024-07-17T00:00:00"/>
    <x v="1"/>
    <x v="0"/>
    <x v="2"/>
    <s v="Yes"/>
    <x v="0"/>
    <s v="Yes"/>
    <n v="20"/>
    <n v="20"/>
    <n v="45"/>
  </r>
  <r>
    <n v="3374"/>
    <s v="Gisele Oliveira"/>
    <x v="2"/>
    <d v="2024-07-18T00:00:00"/>
    <x v="0"/>
    <x v="2"/>
    <x v="2"/>
    <s v="No"/>
    <x v="1"/>
    <s v="Yes"/>
    <n v="20"/>
    <n v="12"/>
    <n v="18"/>
  </r>
  <r>
    <n v="3375"/>
    <s v="Héctor Silva"/>
    <x v="1"/>
    <d v="2024-07-19T00:00:00"/>
    <x v="1"/>
    <x v="1"/>
    <x v="0"/>
    <s v="No"/>
    <x v="1"/>
    <s v="No"/>
    <n v="0"/>
    <n v="2"/>
    <n v="3"/>
  </r>
  <r>
    <n v="3376"/>
    <s v="Igor Martins"/>
    <x v="0"/>
    <d v="2024-07-20T00:00:00"/>
    <x v="0"/>
    <x v="0"/>
    <x v="1"/>
    <s v="Yes"/>
    <x v="0"/>
    <s v="Yes"/>
    <n v="20"/>
    <n v="5"/>
    <n v="60"/>
  </r>
  <r>
    <n v="3377"/>
    <s v="Joana Figueiredo"/>
    <x v="2"/>
    <d v="2024-07-21T00:00:00"/>
    <x v="1"/>
    <x v="2"/>
    <x v="0"/>
    <s v="No"/>
    <x v="1"/>
    <s v="Yes"/>
    <n v="20"/>
    <n v="10"/>
    <n v="20"/>
  </r>
  <r>
    <n v="3378"/>
    <s v="Kleber Machado"/>
    <x v="1"/>
    <d v="2024-07-22T00:00:00"/>
    <x v="0"/>
    <x v="1"/>
    <x v="2"/>
    <s v="No"/>
    <x v="1"/>
    <s v="No"/>
    <n v="0"/>
    <n v="0"/>
    <n v="5"/>
  </r>
  <r>
    <n v="3379"/>
    <s v="Luciana Santos"/>
    <x v="0"/>
    <d v="2024-07-23T00:00:00"/>
    <x v="1"/>
    <x v="0"/>
    <x v="0"/>
    <s v="Yes"/>
    <x v="0"/>
    <s v="Yes"/>
    <n v="20"/>
    <n v="3"/>
    <n v="62"/>
  </r>
  <r>
    <n v="3380"/>
    <s v="Marcos Teixeira"/>
    <x v="2"/>
    <d v="2024-07-24T00:00:00"/>
    <x v="0"/>
    <x v="2"/>
    <x v="1"/>
    <s v="No"/>
    <x v="1"/>
    <s v="Yes"/>
    <n v="20"/>
    <n v="15"/>
    <n v="15"/>
  </r>
  <r>
    <n v="3381"/>
    <s v="Natalia Costa"/>
    <x v="1"/>
    <d v="2024-07-25T00:00:00"/>
    <x v="1"/>
    <x v="1"/>
    <x v="0"/>
    <s v="No"/>
    <x v="1"/>
    <s v="No"/>
    <n v="0"/>
    <n v="1"/>
    <n v="4"/>
  </r>
  <r>
    <n v="3382"/>
    <s v="Oscar Ribeiro"/>
    <x v="0"/>
    <d v="2024-07-26T00:00:00"/>
    <x v="0"/>
    <x v="0"/>
    <x v="2"/>
    <s v="Yes"/>
    <x v="0"/>
    <s v="Yes"/>
    <n v="20"/>
    <n v="7"/>
    <n v="58"/>
  </r>
  <r>
    <n v="3383"/>
    <s v="Patricia Almeida"/>
    <x v="2"/>
    <d v="2024-07-27T00:00:00"/>
    <x v="1"/>
    <x v="2"/>
    <x v="0"/>
    <s v="No"/>
    <x v="1"/>
    <s v="Yes"/>
    <n v="20"/>
    <n v="10"/>
    <n v="20"/>
  </r>
  <r>
    <n v="3384"/>
    <s v="Quirino Junior"/>
    <x v="1"/>
    <d v="2024-07-28T00:00:00"/>
    <x v="0"/>
    <x v="1"/>
    <x v="1"/>
    <s v="No"/>
    <x v="1"/>
    <s v="No"/>
    <n v="0"/>
    <n v="0"/>
    <n v="5"/>
  </r>
  <r>
    <n v="3385"/>
    <s v="Renata Machado"/>
    <x v="0"/>
    <d v="2024-07-29T00:00:00"/>
    <x v="1"/>
    <x v="0"/>
    <x v="0"/>
    <s v="Yes"/>
    <x v="0"/>
    <s v="Yes"/>
    <n v="20"/>
    <n v="20"/>
    <n v="45"/>
  </r>
  <r>
    <n v="3386"/>
    <s v="Sônia Alves"/>
    <x v="2"/>
    <d v="2024-07-30T00:00:00"/>
    <x v="0"/>
    <x v="2"/>
    <x v="2"/>
    <s v="No"/>
    <x v="1"/>
    <s v="Yes"/>
    <n v="20"/>
    <n v="15"/>
    <n v="15"/>
  </r>
  <r>
    <n v="3387"/>
    <s v="Tiago Nunes"/>
    <x v="1"/>
    <d v="2024-07-31T00:00:00"/>
    <x v="1"/>
    <x v="1"/>
    <x v="0"/>
    <s v="No"/>
    <x v="1"/>
    <s v="No"/>
    <n v="0"/>
    <n v="1"/>
    <n v="4"/>
  </r>
  <r>
    <n v="3388"/>
    <s v="Ulysses Pereira"/>
    <x v="0"/>
    <d v="2024-08-01T00:00:00"/>
    <x v="0"/>
    <x v="0"/>
    <x v="1"/>
    <s v="Yes"/>
    <x v="0"/>
    <s v="Yes"/>
    <n v="20"/>
    <n v="3"/>
    <n v="62"/>
  </r>
  <r>
    <n v="3389"/>
    <s v="Vanessa Lima"/>
    <x v="2"/>
    <d v="2024-08-02T00:00:00"/>
    <x v="1"/>
    <x v="2"/>
    <x v="0"/>
    <s v="No"/>
    <x v="1"/>
    <s v="Yes"/>
    <n v="20"/>
    <n v="10"/>
    <n v="20"/>
  </r>
  <r>
    <n v="3390"/>
    <s v="Wagner Santos"/>
    <x v="1"/>
    <d v="2024-08-03T00:00:00"/>
    <x v="0"/>
    <x v="1"/>
    <x v="2"/>
    <s v="No"/>
    <x v="1"/>
    <s v="No"/>
    <n v="0"/>
    <n v="0"/>
    <n v="5"/>
  </r>
  <r>
    <n v="3391"/>
    <s v="Xuxa Meneghel"/>
    <x v="0"/>
    <d v="2024-08-04T00:00:00"/>
    <x v="1"/>
    <x v="0"/>
    <x v="0"/>
    <s v="Yes"/>
    <x v="0"/>
    <s v="Yes"/>
    <n v="20"/>
    <n v="15"/>
    <n v="50"/>
  </r>
  <r>
    <n v="3392"/>
    <s v="Yasmin Silva"/>
    <x v="2"/>
    <d v="2024-08-05T00:00:00"/>
    <x v="0"/>
    <x v="2"/>
    <x v="1"/>
    <s v="No"/>
    <x v="1"/>
    <s v="Yes"/>
    <n v="20"/>
    <n v="15"/>
    <n v="15"/>
  </r>
  <r>
    <n v="3393"/>
    <s v="Zacarias de Souza"/>
    <x v="1"/>
    <d v="2024-08-06T00:00:00"/>
    <x v="1"/>
    <x v="1"/>
    <x v="0"/>
    <s v="No"/>
    <x v="1"/>
    <s v="No"/>
    <n v="0"/>
    <n v="1"/>
    <n v="4"/>
  </r>
  <r>
    <n v="3394"/>
    <s v="André Lima"/>
    <x v="0"/>
    <d v="2024-08-07T00:00:00"/>
    <x v="0"/>
    <x v="0"/>
    <x v="2"/>
    <s v="Yes"/>
    <x v="0"/>
    <s v="Yes"/>
    <n v="20"/>
    <n v="7"/>
    <n v="58"/>
  </r>
  <r>
    <n v="3395"/>
    <s v="Bianca Freitas"/>
    <x v="2"/>
    <d v="2024-08-08T00:00:00"/>
    <x v="1"/>
    <x v="2"/>
    <x v="0"/>
    <s v="No"/>
    <x v="1"/>
    <s v="Yes"/>
    <n v="20"/>
    <n v="10"/>
    <n v="20"/>
  </r>
  <r>
    <n v="3396"/>
    <s v="Caio Mendes"/>
    <x v="1"/>
    <d v="2024-08-09T00:00:00"/>
    <x v="0"/>
    <x v="1"/>
    <x v="1"/>
    <s v="No"/>
    <x v="1"/>
    <s v="No"/>
    <n v="0"/>
    <n v="0"/>
    <n v="5"/>
  </r>
  <r>
    <n v="3397"/>
    <s v="Daniela Moura"/>
    <x v="0"/>
    <d v="2024-08-10T00:00:00"/>
    <x v="1"/>
    <x v="0"/>
    <x v="0"/>
    <s v="Yes"/>
    <x v="0"/>
    <s v="Yes"/>
    <n v="20"/>
    <n v="20"/>
    <n v="45"/>
  </r>
  <r>
    <n v="3398"/>
    <s v="Eduardo Costa"/>
    <x v="2"/>
    <d v="2024-08-11T00:00:00"/>
    <x v="0"/>
    <x v="2"/>
    <x v="2"/>
    <s v="No"/>
    <x v="1"/>
    <s v="Yes"/>
    <n v="20"/>
    <n v="15"/>
    <n v="15"/>
  </r>
  <r>
    <n v="3399"/>
    <s v="Fernanda Gomes"/>
    <x v="1"/>
    <d v="2024-08-12T00:00:00"/>
    <x v="1"/>
    <x v="1"/>
    <x v="0"/>
    <s v="No"/>
    <x v="1"/>
    <s v="No"/>
    <n v="0"/>
    <n v="1"/>
    <n v="4"/>
  </r>
  <r>
    <n v="3400"/>
    <s v="Guilherme Souza"/>
    <x v="0"/>
    <d v="2024-08-13T00:00:00"/>
    <x v="0"/>
    <x v="0"/>
    <x v="1"/>
    <s v="Yes"/>
    <x v="0"/>
    <s v="Yes"/>
    <n v="20"/>
    <n v="5"/>
    <n v="60"/>
  </r>
  <r>
    <n v="3401"/>
    <s v="Helena Ribeiro"/>
    <x v="2"/>
    <d v="2024-08-14T00:00:00"/>
    <x v="1"/>
    <x v="2"/>
    <x v="0"/>
    <s v="No"/>
    <x v="1"/>
    <s v="Yes"/>
    <n v="20"/>
    <n v="10"/>
    <n v="20"/>
  </r>
  <r>
    <n v="3402"/>
    <s v="Igor Santos"/>
    <x v="1"/>
    <d v="2024-08-15T00:00:00"/>
    <x v="0"/>
    <x v="1"/>
    <x v="2"/>
    <s v="No"/>
    <x v="1"/>
    <s v="No"/>
    <n v="0"/>
    <n v="0"/>
    <n v="5"/>
  </r>
  <r>
    <n v="3403"/>
    <s v="João Carvalho"/>
    <x v="0"/>
    <d v="2024-08-16T00:00:00"/>
    <x v="1"/>
    <x v="0"/>
    <x v="0"/>
    <s v="Yes"/>
    <x v="0"/>
    <s v="Yes"/>
    <n v="20"/>
    <n v="3"/>
    <n v="62"/>
  </r>
  <r>
    <n v="3404"/>
    <s v="Klara Fagundes"/>
    <x v="2"/>
    <d v="2024-08-17T00:00:00"/>
    <x v="0"/>
    <x v="2"/>
    <x v="1"/>
    <s v="No"/>
    <x v="1"/>
    <s v="Yes"/>
    <n v="20"/>
    <n v="15"/>
    <n v="15"/>
  </r>
  <r>
    <n v="3405"/>
    <s v="Lúcia Mendonça"/>
    <x v="1"/>
    <d v="2024-08-18T00:00:00"/>
    <x v="1"/>
    <x v="1"/>
    <x v="0"/>
    <s v="No"/>
    <x v="1"/>
    <s v="No"/>
    <n v="0"/>
    <n v="1"/>
    <n v="4"/>
  </r>
  <r>
    <n v="3406"/>
    <s v="Marcelo Novaes"/>
    <x v="1"/>
    <d v="2024-08-19T00:00:00"/>
    <x v="0"/>
    <x v="1"/>
    <x v="0"/>
    <s v="No"/>
    <x v="1"/>
    <s v="No"/>
    <n v="0"/>
    <n v="0"/>
    <n v="5"/>
  </r>
  <r>
    <n v="3407"/>
    <s v="Nina Pacheco"/>
    <x v="0"/>
    <d v="2024-08-20T00:00:00"/>
    <x v="1"/>
    <x v="0"/>
    <x v="2"/>
    <s v="Yes"/>
    <x v="0"/>
    <s v="Yes"/>
    <n v="20"/>
    <n v="7"/>
    <n v="58"/>
  </r>
  <r>
    <n v="3408"/>
    <s v="Olívia Rios"/>
    <x v="2"/>
    <d v="2024-08-21T00:00:00"/>
    <x v="0"/>
    <x v="2"/>
    <x v="1"/>
    <s v="No"/>
    <x v="1"/>
    <s v="Yes"/>
    <n v="20"/>
    <n v="10"/>
    <n v="20"/>
  </r>
  <r>
    <n v="3409"/>
    <s v="Paulo Quintana"/>
    <x v="1"/>
    <d v="2024-08-22T00:00:00"/>
    <x v="1"/>
    <x v="1"/>
    <x v="2"/>
    <s v="No"/>
    <x v="1"/>
    <s v="No"/>
    <n v="0"/>
    <n v="1"/>
    <n v="4"/>
  </r>
  <r>
    <n v="3410"/>
    <s v="Raquel Domingos"/>
    <x v="0"/>
    <d v="2024-08-23T00:00:00"/>
    <x v="0"/>
    <x v="0"/>
    <x v="0"/>
    <s v="Yes"/>
    <x v="0"/>
    <s v="Yes"/>
    <n v="20"/>
    <n v="15"/>
    <n v="50"/>
  </r>
  <r>
    <n v="3411"/>
    <s v="Samuel Viana"/>
    <x v="2"/>
    <d v="2024-08-24T00:00:00"/>
    <x v="1"/>
    <x v="2"/>
    <x v="0"/>
    <s v="No"/>
    <x v="1"/>
    <s v="Yes"/>
    <n v="20"/>
    <n v="5"/>
    <n v="25"/>
  </r>
  <r>
    <n v="3412"/>
    <s v="Tatiane Rocha"/>
    <x v="1"/>
    <d v="2024-08-25T00:00:00"/>
    <x v="0"/>
    <x v="1"/>
    <x v="1"/>
    <s v="No"/>
    <x v="1"/>
    <s v="No"/>
    <n v="0"/>
    <n v="0"/>
    <n v="5"/>
  </r>
  <r>
    <n v="3413"/>
    <s v="Ulysses Farias"/>
    <x v="0"/>
    <d v="2024-08-26T00:00:00"/>
    <x v="1"/>
    <x v="0"/>
    <x v="2"/>
    <s v="Yes"/>
    <x v="0"/>
    <s v="Yes"/>
    <n v="20"/>
    <n v="20"/>
    <n v="45"/>
  </r>
  <r>
    <n v="3414"/>
    <s v="Vanessa Moreira"/>
    <x v="2"/>
    <d v="2024-08-27T00:00:00"/>
    <x v="0"/>
    <x v="2"/>
    <x v="2"/>
    <s v="No"/>
    <x v="1"/>
    <s v="Yes"/>
    <n v="20"/>
    <n v="12"/>
    <n v="18"/>
  </r>
  <r>
    <n v="3415"/>
    <s v="William Carvalho"/>
    <x v="1"/>
    <d v="2024-08-28T00:00:00"/>
    <x v="1"/>
    <x v="1"/>
    <x v="0"/>
    <s v="No"/>
    <x v="1"/>
    <s v="No"/>
    <n v="0"/>
    <n v="2"/>
    <n v="3"/>
  </r>
  <r>
    <n v="3416"/>
    <s v="Ximena Barros"/>
    <x v="0"/>
    <d v="2024-08-29T00:00:00"/>
    <x v="0"/>
    <x v="0"/>
    <x v="1"/>
    <s v="Yes"/>
    <x v="0"/>
    <s v="Yes"/>
    <n v="20"/>
    <n v="5"/>
    <n v="60"/>
  </r>
  <r>
    <n v="3417"/>
    <s v="Yara Machado"/>
    <x v="2"/>
    <d v="2024-08-30T00:00:00"/>
    <x v="1"/>
    <x v="2"/>
    <x v="0"/>
    <s v="No"/>
    <x v="1"/>
    <s v="Yes"/>
    <n v="20"/>
    <n v="10"/>
    <n v="20"/>
  </r>
  <r>
    <n v="3418"/>
    <s v="Zacarias Costa"/>
    <x v="1"/>
    <d v="2024-08-31T00:00:00"/>
    <x v="0"/>
    <x v="1"/>
    <x v="2"/>
    <s v="No"/>
    <x v="1"/>
    <s v="No"/>
    <n v="0"/>
    <n v="0"/>
    <n v="5"/>
  </r>
  <r>
    <n v="3419"/>
    <s v="André Lopes"/>
    <x v="0"/>
    <d v="2024-09-01T00:00:00"/>
    <x v="1"/>
    <x v="0"/>
    <x v="0"/>
    <s v="Yes"/>
    <x v="0"/>
    <s v="Yes"/>
    <n v="20"/>
    <n v="3"/>
    <n v="62"/>
  </r>
  <r>
    <n v="3420"/>
    <s v="Beatriz Souza"/>
    <x v="2"/>
    <d v="2024-09-02T00:00:00"/>
    <x v="0"/>
    <x v="2"/>
    <x v="1"/>
    <s v="No"/>
    <x v="1"/>
    <s v="Yes"/>
    <n v="20"/>
    <n v="15"/>
    <n v="15"/>
  </r>
  <r>
    <n v="3421"/>
    <s v="Caio Pereira"/>
    <x v="1"/>
    <d v="2024-09-03T00:00:00"/>
    <x v="1"/>
    <x v="1"/>
    <x v="0"/>
    <s v="No"/>
    <x v="1"/>
    <s v="No"/>
    <n v="0"/>
    <n v="1"/>
    <n v="4"/>
  </r>
  <r>
    <n v="3422"/>
    <s v="Daniela Araújo"/>
    <x v="0"/>
    <d v="2024-09-04T00:00:00"/>
    <x v="0"/>
    <x v="0"/>
    <x v="2"/>
    <s v="Yes"/>
    <x v="0"/>
    <s v="Yes"/>
    <n v="20"/>
    <n v="7"/>
    <n v="58"/>
  </r>
  <r>
    <n v="3423"/>
    <s v="Eduardo Santos"/>
    <x v="2"/>
    <d v="2024-09-05T00:00:00"/>
    <x v="1"/>
    <x v="2"/>
    <x v="0"/>
    <s v="No"/>
    <x v="1"/>
    <s v="Yes"/>
    <n v="20"/>
    <n v="10"/>
    <n v="20"/>
  </r>
  <r>
    <n v="3424"/>
    <s v="Fernanda Lima"/>
    <x v="1"/>
    <d v="2024-09-06T00:00:00"/>
    <x v="0"/>
    <x v="1"/>
    <x v="1"/>
    <s v="No"/>
    <x v="1"/>
    <s v="No"/>
    <n v="0"/>
    <n v="0"/>
    <n v="5"/>
  </r>
  <r>
    <n v="3425"/>
    <s v="Gabriel Teixeira"/>
    <x v="0"/>
    <d v="2024-09-07T00:00:00"/>
    <x v="1"/>
    <x v="0"/>
    <x v="0"/>
    <s v="Yes"/>
    <x v="0"/>
    <s v="Yes"/>
    <n v="20"/>
    <n v="20"/>
    <n v="45"/>
  </r>
  <r>
    <n v="3426"/>
    <s v="Helena Ribeiro"/>
    <x v="2"/>
    <d v="2024-09-08T00:00:00"/>
    <x v="0"/>
    <x v="2"/>
    <x v="2"/>
    <s v="No"/>
    <x v="1"/>
    <s v="Yes"/>
    <n v="20"/>
    <n v="15"/>
    <n v="15"/>
  </r>
  <r>
    <n v="3427"/>
    <s v="Igor Mendes"/>
    <x v="1"/>
    <d v="2024-09-09T00:00:00"/>
    <x v="1"/>
    <x v="1"/>
    <x v="0"/>
    <s v="No"/>
    <x v="1"/>
    <s v="No"/>
    <n v="0"/>
    <n v="1"/>
    <n v="4"/>
  </r>
  <r>
    <n v="3428"/>
    <s v="Joana Silveira"/>
    <x v="0"/>
    <d v="2024-09-10T00:00:00"/>
    <x v="0"/>
    <x v="0"/>
    <x v="1"/>
    <s v="Yes"/>
    <x v="0"/>
    <s v="Yes"/>
    <n v="20"/>
    <n v="3"/>
    <n v="62"/>
  </r>
  <r>
    <n v="3429"/>
    <s v="Lucas Martins"/>
    <x v="2"/>
    <d v="2024-09-11T00:00:00"/>
    <x v="1"/>
    <x v="2"/>
    <x v="0"/>
    <s v="No"/>
    <x v="1"/>
    <s v="Yes"/>
    <n v="20"/>
    <n v="10"/>
    <n v="20"/>
  </r>
  <r>
    <n v="3430"/>
    <s v="Marcela Gouveia"/>
    <x v="1"/>
    <d v="2024-09-12T00:00:00"/>
    <x v="0"/>
    <x v="1"/>
    <x v="2"/>
    <s v="No"/>
    <x v="1"/>
    <s v="No"/>
    <n v="0"/>
    <n v="0"/>
    <n v="5"/>
  </r>
  <r>
    <n v="3431"/>
    <s v="Nicolas Borges"/>
    <x v="0"/>
    <d v="2024-09-13T00:00:00"/>
    <x v="1"/>
    <x v="0"/>
    <x v="0"/>
    <s v="Yes"/>
    <x v="0"/>
    <s v="Yes"/>
    <n v="20"/>
    <n v="15"/>
    <n v="50"/>
  </r>
  <r>
    <n v="3432"/>
    <s v="Olivia Freitas"/>
    <x v="2"/>
    <d v="2024-09-14T00:00:00"/>
    <x v="0"/>
    <x v="2"/>
    <x v="1"/>
    <s v="No"/>
    <x v="1"/>
    <s v="Yes"/>
    <n v="20"/>
    <n v="15"/>
    <n v="15"/>
  </r>
  <r>
    <n v="3433"/>
    <s v="Paulo Nogueira"/>
    <x v="1"/>
    <d v="2024-09-15T00:00:00"/>
    <x v="1"/>
    <x v="1"/>
    <x v="0"/>
    <s v="No"/>
    <x v="1"/>
    <s v="No"/>
    <n v="0"/>
    <n v="1"/>
    <n v="4"/>
  </r>
  <r>
    <n v="3434"/>
    <s v="Raquel Andrade"/>
    <x v="0"/>
    <d v="2024-09-16T00:00:00"/>
    <x v="0"/>
    <x v="0"/>
    <x v="2"/>
    <s v="Yes"/>
    <x v="0"/>
    <s v="Yes"/>
    <n v="20"/>
    <n v="7"/>
    <n v="58"/>
  </r>
  <r>
    <n v="3435"/>
    <s v="Sônia Carvalho"/>
    <x v="2"/>
    <d v="2024-09-17T00:00:00"/>
    <x v="1"/>
    <x v="2"/>
    <x v="0"/>
    <s v="No"/>
    <x v="1"/>
    <s v="Yes"/>
    <n v="20"/>
    <n v="10"/>
    <n v="20"/>
  </r>
  <r>
    <n v="3436"/>
    <s v="Tiago Rodrigues"/>
    <x v="1"/>
    <d v="2024-09-18T00:00:00"/>
    <x v="0"/>
    <x v="1"/>
    <x v="0"/>
    <s v="No"/>
    <x v="1"/>
    <s v="No"/>
    <n v="0"/>
    <n v="0"/>
    <n v="5"/>
  </r>
  <r>
    <n v="3437"/>
    <s v="Ursula Monteiro"/>
    <x v="0"/>
    <d v="2024-09-19T00:00:00"/>
    <x v="1"/>
    <x v="0"/>
    <x v="2"/>
    <s v="Yes"/>
    <x v="0"/>
    <s v="Yes"/>
    <n v="20"/>
    <n v="7"/>
    <n v="58"/>
  </r>
  <r>
    <n v="3438"/>
    <s v="Vanessa Pereira"/>
    <x v="2"/>
    <d v="2024-09-20T00:00:00"/>
    <x v="0"/>
    <x v="2"/>
    <x v="1"/>
    <s v="No"/>
    <x v="1"/>
    <s v="Yes"/>
    <n v="20"/>
    <n v="10"/>
    <n v="20"/>
  </r>
  <r>
    <n v="3439"/>
    <s v="Walter Silva"/>
    <x v="1"/>
    <d v="2024-09-21T00:00:00"/>
    <x v="1"/>
    <x v="1"/>
    <x v="2"/>
    <s v="No"/>
    <x v="1"/>
    <s v="No"/>
    <n v="0"/>
    <n v="1"/>
    <n v="4"/>
  </r>
  <r>
    <n v="3440"/>
    <s v="Xavier Almeida"/>
    <x v="0"/>
    <d v="2024-09-22T00:00:00"/>
    <x v="0"/>
    <x v="0"/>
    <x v="0"/>
    <s v="Yes"/>
    <x v="0"/>
    <s v="Yes"/>
    <n v="20"/>
    <n v="15"/>
    <n v="50"/>
  </r>
  <r>
    <n v="3441"/>
    <s v="Yasmine Correia"/>
    <x v="2"/>
    <d v="2024-09-23T00:00:00"/>
    <x v="1"/>
    <x v="2"/>
    <x v="0"/>
    <s v="No"/>
    <x v="1"/>
    <s v="Yes"/>
    <n v="20"/>
    <n v="5"/>
    <n v="25"/>
  </r>
  <r>
    <n v="3442"/>
    <s v="Zacarias Almeida"/>
    <x v="1"/>
    <d v="2024-09-24T00:00:00"/>
    <x v="0"/>
    <x v="1"/>
    <x v="1"/>
    <s v="No"/>
    <x v="1"/>
    <s v="No"/>
    <n v="0"/>
    <n v="0"/>
    <n v="5"/>
  </r>
  <r>
    <n v="3443"/>
    <s v="Amanda Costa"/>
    <x v="0"/>
    <d v="2024-09-25T00:00:00"/>
    <x v="1"/>
    <x v="0"/>
    <x v="2"/>
    <s v="Yes"/>
    <x v="0"/>
    <s v="Yes"/>
    <n v="20"/>
    <n v="20"/>
    <n v="45"/>
  </r>
  <r>
    <n v="3444"/>
    <s v="Bruno Ferreira"/>
    <x v="2"/>
    <d v="2024-09-26T00:00:00"/>
    <x v="0"/>
    <x v="2"/>
    <x v="2"/>
    <s v="No"/>
    <x v="1"/>
    <s v="Yes"/>
    <n v="20"/>
    <n v="12"/>
    <n v="18"/>
  </r>
  <r>
    <n v="3445"/>
    <s v="Carla Dias"/>
    <x v="1"/>
    <d v="2024-09-27T00:00:00"/>
    <x v="1"/>
    <x v="1"/>
    <x v="0"/>
    <s v="No"/>
    <x v="1"/>
    <s v="No"/>
    <n v="0"/>
    <n v="2"/>
    <n v="3"/>
  </r>
  <r>
    <n v="3446"/>
    <s v="Diogo Martins"/>
    <x v="0"/>
    <d v="2024-09-28T00:00:00"/>
    <x v="0"/>
    <x v="0"/>
    <x v="1"/>
    <s v="Yes"/>
    <x v="0"/>
    <s v="Yes"/>
    <n v="20"/>
    <n v="5"/>
    <n v="60"/>
  </r>
  <r>
    <n v="3447"/>
    <s v="Elisa Campos"/>
    <x v="2"/>
    <d v="2024-09-29T00:00:00"/>
    <x v="1"/>
    <x v="2"/>
    <x v="0"/>
    <s v="No"/>
    <x v="1"/>
    <s v="Yes"/>
    <n v="20"/>
    <n v="10"/>
    <n v="20"/>
  </r>
  <r>
    <n v="3448"/>
    <s v="Fabiana Lima"/>
    <x v="1"/>
    <d v="2024-09-30T00:00:00"/>
    <x v="0"/>
    <x v="1"/>
    <x v="2"/>
    <s v="No"/>
    <x v="1"/>
    <s v="No"/>
    <n v="0"/>
    <n v="0"/>
    <n v="5"/>
  </r>
  <r>
    <n v="3449"/>
    <s v="Gabriel Santos"/>
    <x v="0"/>
    <d v="2024-10-01T00:00:00"/>
    <x v="1"/>
    <x v="0"/>
    <x v="0"/>
    <s v="Yes"/>
    <x v="0"/>
    <s v="Yes"/>
    <n v="20"/>
    <n v="3"/>
    <n v="62"/>
  </r>
  <r>
    <n v="3450"/>
    <s v="Helena Ferreira"/>
    <x v="2"/>
    <d v="2024-10-02T00:00:00"/>
    <x v="0"/>
    <x v="2"/>
    <x v="1"/>
    <s v="No"/>
    <x v="1"/>
    <s v="Yes"/>
    <n v="20"/>
    <n v="15"/>
    <n v="15"/>
  </r>
  <r>
    <n v="3451"/>
    <s v="Ígor Nunes"/>
    <x v="1"/>
    <d v="2024-10-03T00:00:00"/>
    <x v="1"/>
    <x v="1"/>
    <x v="0"/>
    <s v="No"/>
    <x v="1"/>
    <s v="No"/>
    <n v="0"/>
    <n v="1"/>
    <n v="4"/>
  </r>
  <r>
    <n v="3452"/>
    <s v="Joana Silveira"/>
    <x v="0"/>
    <d v="2024-10-04T00:00:00"/>
    <x v="0"/>
    <x v="0"/>
    <x v="2"/>
    <s v="Yes"/>
    <x v="0"/>
    <s v="Yes"/>
    <n v="20"/>
    <n v="7"/>
    <n v="58"/>
  </r>
  <r>
    <n v="3453"/>
    <s v="Kléber Oliveira"/>
    <x v="2"/>
    <d v="2024-10-05T00:00:00"/>
    <x v="1"/>
    <x v="2"/>
    <x v="0"/>
    <s v="No"/>
    <x v="1"/>
    <s v="Yes"/>
    <n v="20"/>
    <n v="10"/>
    <n v="20"/>
  </r>
  <r>
    <n v="3454"/>
    <s v="Luciana Morais"/>
    <x v="1"/>
    <d v="2024-10-06T00:00:00"/>
    <x v="0"/>
    <x v="1"/>
    <x v="1"/>
    <s v="No"/>
    <x v="1"/>
    <s v="No"/>
    <n v="0"/>
    <n v="0"/>
    <n v="5"/>
  </r>
  <r>
    <n v="3455"/>
    <s v="Marcos Vinícius"/>
    <x v="0"/>
    <d v="2024-10-07T00:00:00"/>
    <x v="1"/>
    <x v="0"/>
    <x v="0"/>
    <s v="Yes"/>
    <x v="0"/>
    <s v="Yes"/>
    <n v="20"/>
    <n v="20"/>
    <n v="45"/>
  </r>
  <r>
    <n v="3456"/>
    <s v="Natália Barros"/>
    <x v="2"/>
    <d v="2024-10-08T00:00:00"/>
    <x v="0"/>
    <x v="2"/>
    <x v="2"/>
    <s v="No"/>
    <x v="1"/>
    <s v="Yes"/>
    <n v="20"/>
    <n v="15"/>
    <n v="15"/>
  </r>
  <r>
    <n v="3457"/>
    <s v="Oscar Sampaio"/>
    <x v="1"/>
    <d v="2024-10-09T00:00:00"/>
    <x v="1"/>
    <x v="1"/>
    <x v="0"/>
    <s v="No"/>
    <x v="1"/>
    <s v="No"/>
    <n v="0"/>
    <n v="1"/>
    <n v="4"/>
  </r>
  <r>
    <n v="3458"/>
    <s v="Patrícia Leite"/>
    <x v="0"/>
    <d v="2024-10-10T00:00:00"/>
    <x v="0"/>
    <x v="0"/>
    <x v="1"/>
    <s v="Yes"/>
    <x v="0"/>
    <s v="Yes"/>
    <n v="20"/>
    <n v="3"/>
    <n v="62"/>
  </r>
  <r>
    <n v="3459"/>
    <s v="Quênia Rocha"/>
    <x v="2"/>
    <d v="2024-10-11T00:00:00"/>
    <x v="1"/>
    <x v="2"/>
    <x v="0"/>
    <s v="No"/>
    <x v="1"/>
    <s v="Yes"/>
    <n v="20"/>
    <n v="10"/>
    <n v="20"/>
  </r>
  <r>
    <n v="3460"/>
    <s v="Rafael Torres"/>
    <x v="1"/>
    <d v="2024-10-12T00:00:00"/>
    <x v="0"/>
    <x v="1"/>
    <x v="2"/>
    <s v="No"/>
    <x v="1"/>
    <s v="No"/>
    <n v="0"/>
    <n v="0"/>
    <n v="5"/>
  </r>
  <r>
    <n v="3461"/>
    <s v="Sandra Gouveia"/>
    <x v="0"/>
    <d v="2024-10-13T00:00:00"/>
    <x v="1"/>
    <x v="0"/>
    <x v="0"/>
    <s v="Yes"/>
    <x v="0"/>
    <s v="Yes"/>
    <n v="20"/>
    <n v="15"/>
    <n v="50"/>
  </r>
  <r>
    <n v="3462"/>
    <s v="Tiago Lacerda"/>
    <x v="2"/>
    <d v="2024-10-14T00:00:00"/>
    <x v="0"/>
    <x v="2"/>
    <x v="1"/>
    <s v="No"/>
    <x v="1"/>
    <s v="Yes"/>
    <n v="20"/>
    <n v="15"/>
    <n v="15"/>
  </r>
  <r>
    <n v="3463"/>
    <s v="Ursula Fonseca"/>
    <x v="1"/>
    <d v="2024-10-15T00:00:00"/>
    <x v="1"/>
    <x v="1"/>
    <x v="0"/>
    <s v="No"/>
    <x v="1"/>
    <s v="No"/>
    <n v="0"/>
    <n v="1"/>
    <n v="4"/>
  </r>
  <r>
    <n v="3464"/>
    <s v="Vanessa Andrade"/>
    <x v="0"/>
    <d v="2024-10-16T00:00:00"/>
    <x v="0"/>
    <x v="0"/>
    <x v="2"/>
    <s v="Yes"/>
    <x v="0"/>
    <s v="Yes"/>
    <n v="20"/>
    <n v="7"/>
    <n v="58"/>
  </r>
  <r>
    <n v="3465"/>
    <s v="William Castro"/>
    <x v="2"/>
    <d v="2024-10-17T00:00:00"/>
    <x v="1"/>
    <x v="2"/>
    <x v="0"/>
    <s v="No"/>
    <x v="1"/>
    <s v="Yes"/>
    <n v="20"/>
    <n v="10"/>
    <n v="20"/>
  </r>
  <r>
    <n v="3466"/>
    <s v="Xavier Monteiro"/>
    <x v="1"/>
    <d v="2024-10-18T00:00:00"/>
    <x v="0"/>
    <x v="1"/>
    <x v="1"/>
    <s v="No"/>
    <x v="1"/>
    <s v="No"/>
    <n v="0"/>
    <n v="0"/>
    <n v="5"/>
  </r>
  <r>
    <n v="3467"/>
    <s v="Yasmin Figueira"/>
    <x v="0"/>
    <d v="2024-10-19T00:00:00"/>
    <x v="1"/>
    <x v="0"/>
    <x v="0"/>
    <s v="Yes"/>
    <x v="0"/>
    <s v="Yes"/>
    <n v="20"/>
    <n v="15"/>
    <n v="50"/>
  </r>
  <r>
    <n v="3468"/>
    <s v="Zacarias Mendonça"/>
    <x v="2"/>
    <d v="2024-10-20T00:00:00"/>
    <x v="0"/>
    <x v="2"/>
    <x v="2"/>
    <s v="No"/>
    <x v="1"/>
    <s v="Yes"/>
    <n v="20"/>
    <n v="12"/>
    <n v="18"/>
  </r>
  <r>
    <n v="3469"/>
    <s v="Amanda Menezes"/>
    <x v="1"/>
    <d v="2024-10-21T00:00:00"/>
    <x v="1"/>
    <x v="1"/>
    <x v="0"/>
    <s v="No"/>
    <x v="1"/>
    <s v="No"/>
    <n v="0"/>
    <n v="2"/>
    <n v="3"/>
  </r>
  <r>
    <n v="3470"/>
    <s v="Bruno Santos"/>
    <x v="0"/>
    <d v="2024-10-22T00:00:00"/>
    <x v="0"/>
    <x v="0"/>
    <x v="1"/>
    <s v="Yes"/>
    <x v="0"/>
    <s v="Yes"/>
    <n v="20"/>
    <n v="5"/>
    <n v="60"/>
  </r>
  <r>
    <n v="3471"/>
    <s v="Carla Ferreira"/>
    <x v="2"/>
    <d v="2024-10-23T00:00:00"/>
    <x v="1"/>
    <x v="2"/>
    <x v="0"/>
    <s v="No"/>
    <x v="1"/>
    <s v="Yes"/>
    <n v="20"/>
    <n v="10"/>
    <n v="20"/>
  </r>
  <r>
    <n v="3472"/>
    <s v="Diogo Alves"/>
    <x v="1"/>
    <d v="2024-10-24T00:00:00"/>
    <x v="0"/>
    <x v="1"/>
    <x v="2"/>
    <s v="No"/>
    <x v="1"/>
    <s v="No"/>
    <n v="0"/>
    <n v="0"/>
    <n v="5"/>
  </r>
  <r>
    <n v="3473"/>
    <s v="Elisa Neves"/>
    <x v="0"/>
    <d v="2024-10-25T00:00:00"/>
    <x v="1"/>
    <x v="0"/>
    <x v="0"/>
    <s v="Yes"/>
    <x v="0"/>
    <s v="Yes"/>
    <n v="20"/>
    <n v="3"/>
    <n v="62"/>
  </r>
  <r>
    <n v="3474"/>
    <s v="Fabiano Pires"/>
    <x v="2"/>
    <d v="2024-10-26T00:00:00"/>
    <x v="0"/>
    <x v="2"/>
    <x v="1"/>
    <s v="No"/>
    <x v="1"/>
    <s v="Yes"/>
    <n v="20"/>
    <n v="15"/>
    <n v="15"/>
  </r>
  <r>
    <n v="3475"/>
    <s v="Giovana Ribeiro"/>
    <x v="1"/>
    <d v="2024-10-27T00:00:00"/>
    <x v="1"/>
    <x v="1"/>
    <x v="0"/>
    <s v="No"/>
    <x v="1"/>
    <s v="No"/>
    <n v="0"/>
    <n v="1"/>
    <n v="4"/>
  </r>
  <r>
    <n v="3476"/>
    <s v="Hélio Costa"/>
    <x v="0"/>
    <d v="2024-10-28T00:00:00"/>
    <x v="0"/>
    <x v="0"/>
    <x v="2"/>
    <s v="Yes"/>
    <x v="0"/>
    <s v="Yes"/>
    <n v="20"/>
    <n v="7"/>
    <n v="58"/>
  </r>
  <r>
    <n v="3477"/>
    <s v="Íris Loureiro"/>
    <x v="2"/>
    <d v="2024-10-29T00:00:00"/>
    <x v="1"/>
    <x v="2"/>
    <x v="0"/>
    <s v="No"/>
    <x v="1"/>
    <s v="Yes"/>
    <n v="20"/>
    <n v="10"/>
    <n v="20"/>
  </r>
  <r>
    <n v="3478"/>
    <s v="João Pereira"/>
    <x v="1"/>
    <d v="2024-10-30T00:00:00"/>
    <x v="0"/>
    <x v="1"/>
    <x v="1"/>
    <s v="No"/>
    <x v="1"/>
    <s v="No"/>
    <n v="0"/>
    <n v="0"/>
    <n v="5"/>
  </r>
  <r>
    <n v="3479"/>
    <s v="Klara Silva"/>
    <x v="0"/>
    <d v="2024-10-31T00:00:00"/>
    <x v="1"/>
    <x v="0"/>
    <x v="0"/>
    <s v="Yes"/>
    <x v="0"/>
    <s v="Yes"/>
    <n v="20"/>
    <n v="20"/>
    <n v="45"/>
  </r>
  <r>
    <n v="3480"/>
    <s v="Luciana Barros"/>
    <x v="2"/>
    <d v="2024-11-01T00:00:00"/>
    <x v="0"/>
    <x v="2"/>
    <x v="2"/>
    <s v="No"/>
    <x v="1"/>
    <s v="Yes"/>
    <n v="20"/>
    <n v="15"/>
    <n v="15"/>
  </r>
  <r>
    <n v="3481"/>
    <s v="Marcos Gomes"/>
    <x v="1"/>
    <d v="2024-11-02T00:00:00"/>
    <x v="1"/>
    <x v="1"/>
    <x v="0"/>
    <s v="No"/>
    <x v="1"/>
    <s v="No"/>
    <n v="0"/>
    <n v="1"/>
    <n v="4"/>
  </r>
  <r>
    <n v="3482"/>
    <s v="Natália Soares"/>
    <x v="0"/>
    <d v="2024-11-03T00:00:00"/>
    <x v="0"/>
    <x v="0"/>
    <x v="1"/>
    <s v="Yes"/>
    <x v="0"/>
    <s v="Yes"/>
    <n v="20"/>
    <n v="3"/>
    <n v="62"/>
  </r>
  <r>
    <n v="3483"/>
    <s v="Oscar Machado"/>
    <x v="2"/>
    <d v="2024-11-04T00:00:00"/>
    <x v="1"/>
    <x v="2"/>
    <x v="0"/>
    <s v="No"/>
    <x v="1"/>
    <s v="Yes"/>
    <n v="20"/>
    <n v="10"/>
    <n v="20"/>
  </r>
  <r>
    <n v="3484"/>
    <s v="Patrícia Lima"/>
    <x v="1"/>
    <d v="2024-11-05T00:00:00"/>
    <x v="0"/>
    <x v="1"/>
    <x v="2"/>
    <s v="No"/>
    <x v="1"/>
    <s v="No"/>
    <n v="0"/>
    <n v="0"/>
    <n v="5"/>
  </r>
  <r>
    <n v="3485"/>
    <s v="Quirino Neto"/>
    <x v="0"/>
    <d v="2024-11-06T00:00:00"/>
    <x v="1"/>
    <x v="0"/>
    <x v="0"/>
    <s v="Yes"/>
    <x v="0"/>
    <s v="Yes"/>
    <n v="20"/>
    <n v="15"/>
    <n v="50"/>
  </r>
  <r>
    <n v="3486"/>
    <s v="Rafaela Souza"/>
    <x v="1"/>
    <d v="2024-11-07T00:00:00"/>
    <x v="0"/>
    <x v="1"/>
    <x v="0"/>
    <s v="No"/>
    <x v="1"/>
    <s v="No"/>
    <n v="0"/>
    <n v="0"/>
    <n v="5"/>
  </r>
  <r>
    <n v="3487"/>
    <s v="Sandro Almeida"/>
    <x v="0"/>
    <d v="2024-11-08T00:00:00"/>
    <x v="1"/>
    <x v="0"/>
    <x v="2"/>
    <s v="Yes"/>
    <x v="0"/>
    <s v="Yes"/>
    <n v="20"/>
    <n v="7"/>
    <n v="58"/>
  </r>
  <r>
    <n v="3488"/>
    <s v="Tânia Ribeiro"/>
    <x v="2"/>
    <d v="2024-11-09T00:00:00"/>
    <x v="0"/>
    <x v="2"/>
    <x v="1"/>
    <s v="No"/>
    <x v="1"/>
    <s v="Yes"/>
    <n v="20"/>
    <n v="10"/>
    <n v="20"/>
  </r>
  <r>
    <n v="3489"/>
    <s v="Ugo Dias"/>
    <x v="1"/>
    <d v="2024-11-10T00:00:00"/>
    <x v="1"/>
    <x v="1"/>
    <x v="2"/>
    <s v="No"/>
    <x v="1"/>
    <s v="No"/>
    <n v="0"/>
    <n v="1"/>
    <n v="4"/>
  </r>
  <r>
    <n v="3490"/>
    <s v="Valéria Lima"/>
    <x v="0"/>
    <d v="2024-11-11T00:00:00"/>
    <x v="0"/>
    <x v="0"/>
    <x v="0"/>
    <s v="Yes"/>
    <x v="0"/>
    <s v="Yes"/>
    <n v="20"/>
    <n v="15"/>
    <n v="50"/>
  </r>
  <r>
    <n v="3491"/>
    <s v="William Fernandes"/>
    <x v="2"/>
    <d v="2024-11-12T00:00:00"/>
    <x v="1"/>
    <x v="2"/>
    <x v="0"/>
    <s v="No"/>
    <x v="1"/>
    <s v="Yes"/>
    <n v="20"/>
    <n v="5"/>
    <n v="25"/>
  </r>
  <r>
    <n v="3492"/>
    <s v="Xuxa Mendes"/>
    <x v="1"/>
    <d v="2024-11-13T00:00:00"/>
    <x v="0"/>
    <x v="1"/>
    <x v="1"/>
    <s v="No"/>
    <x v="1"/>
    <s v="No"/>
    <n v="0"/>
    <n v="0"/>
    <n v="5"/>
  </r>
  <r>
    <n v="3493"/>
    <s v="Ygor Farias"/>
    <x v="0"/>
    <d v="2024-11-14T00:00:00"/>
    <x v="1"/>
    <x v="0"/>
    <x v="2"/>
    <s v="Yes"/>
    <x v="0"/>
    <s v="Yes"/>
    <n v="20"/>
    <n v="20"/>
    <n v="45"/>
  </r>
  <r>
    <n v="3494"/>
    <s v="Zilda Barros"/>
    <x v="2"/>
    <d v="2024-11-15T00:00:00"/>
    <x v="0"/>
    <x v="2"/>
    <x v="2"/>
    <s v="No"/>
    <x v="1"/>
    <s v="Yes"/>
    <n v="20"/>
    <n v="12"/>
    <n v="18"/>
  </r>
  <r>
    <n v="3495"/>
    <s v="Amanda Santos"/>
    <x v="1"/>
    <d v="2024-11-16T00:00:00"/>
    <x v="1"/>
    <x v="1"/>
    <x v="0"/>
    <s v="No"/>
    <x v="1"/>
    <s v="No"/>
    <n v="0"/>
    <n v="2"/>
    <n v="3"/>
  </r>
  <r>
    <n v="3496"/>
    <s v="Bruno Costa"/>
    <x v="0"/>
    <d v="2024-11-17T00:00:00"/>
    <x v="0"/>
    <x v="0"/>
    <x v="1"/>
    <s v="Yes"/>
    <x v="0"/>
    <s v="Yes"/>
    <n v="20"/>
    <n v="5"/>
    <n v="60"/>
  </r>
  <r>
    <n v="3497"/>
    <s v="Carla Rodrigues"/>
    <x v="2"/>
    <d v="2024-11-18T00:00:00"/>
    <x v="1"/>
    <x v="2"/>
    <x v="0"/>
    <s v="No"/>
    <x v="1"/>
    <s v="Yes"/>
    <n v="20"/>
    <n v="10"/>
    <n v="20"/>
  </r>
  <r>
    <n v="3498"/>
    <s v="Diogo Pereira"/>
    <x v="1"/>
    <d v="2024-11-19T00:00:00"/>
    <x v="0"/>
    <x v="1"/>
    <x v="2"/>
    <s v="No"/>
    <x v="1"/>
    <s v="No"/>
    <n v="0"/>
    <n v="0"/>
    <n v="5"/>
  </r>
  <r>
    <n v="3499"/>
    <s v="Elisa Correia"/>
    <x v="0"/>
    <d v="2024-11-20T00:00:00"/>
    <x v="1"/>
    <x v="0"/>
    <x v="0"/>
    <s v="Yes"/>
    <x v="0"/>
    <s v="Yes"/>
    <n v="20"/>
    <n v="3"/>
    <n v="62"/>
  </r>
  <r>
    <n v="3500"/>
    <s v="Fábio Lourenço"/>
    <x v="2"/>
    <d v="2024-11-21T00:00:00"/>
    <x v="0"/>
    <x v="2"/>
    <x v="1"/>
    <s v="No"/>
    <x v="1"/>
    <s v="Yes"/>
    <n v="20"/>
    <n v="15"/>
    <n v="15"/>
  </r>
  <r>
    <n v="3501"/>
    <s v="Gabriela Neves"/>
    <x v="1"/>
    <d v="2024-11-22T00:00:00"/>
    <x v="1"/>
    <x v="1"/>
    <x v="0"/>
    <s v="No"/>
    <x v="1"/>
    <s v="No"/>
    <n v="0"/>
    <n v="1"/>
    <n v="4"/>
  </r>
  <r>
    <n v="3502"/>
    <s v="Henrique Gonçalves"/>
    <x v="0"/>
    <d v="2024-11-23T00:00:00"/>
    <x v="0"/>
    <x v="0"/>
    <x v="2"/>
    <s v="Yes"/>
    <x v="0"/>
    <s v="Yes"/>
    <n v="20"/>
    <n v="7"/>
    <n v="58"/>
  </r>
  <r>
    <n v="3503"/>
    <s v="Íris Santos"/>
    <x v="2"/>
    <d v="2024-11-24T00:00:00"/>
    <x v="1"/>
    <x v="2"/>
    <x v="0"/>
    <s v="No"/>
    <x v="1"/>
    <s v="Yes"/>
    <n v="20"/>
    <n v="10"/>
    <n v="20"/>
  </r>
  <r>
    <n v="3504"/>
    <s v="João Marcelo Alves"/>
    <x v="1"/>
    <d v="2024-11-25T00:00:00"/>
    <x v="0"/>
    <x v="1"/>
    <x v="1"/>
    <s v="No"/>
    <x v="1"/>
    <s v="No"/>
    <n v="0"/>
    <n v="0"/>
    <n v="5"/>
  </r>
  <r>
    <n v="3505"/>
    <s v="Klara Fonseca"/>
    <x v="0"/>
    <d v="2024-11-26T00:00:00"/>
    <x v="1"/>
    <x v="0"/>
    <x v="0"/>
    <s v="Yes"/>
    <x v="0"/>
    <s v="Yes"/>
    <n v="20"/>
    <n v="20"/>
    <n v="45"/>
  </r>
  <r>
    <n v="3506"/>
    <s v="Lucas Mendonça"/>
    <x v="2"/>
    <d v="2024-11-27T00:00:00"/>
    <x v="0"/>
    <x v="2"/>
    <x v="2"/>
    <s v="No"/>
    <x v="1"/>
    <s v="Yes"/>
    <n v="20"/>
    <n v="15"/>
    <n v="15"/>
  </r>
  <r>
    <n v="3507"/>
    <s v="Marcela Torres"/>
    <x v="1"/>
    <d v="2024-11-28T00:00:00"/>
    <x v="1"/>
    <x v="1"/>
    <x v="0"/>
    <s v="No"/>
    <x v="1"/>
    <s v="No"/>
    <n v="0"/>
    <n v="1"/>
    <n v="4"/>
  </r>
  <r>
    <n v="3508"/>
    <s v="Natália Castro"/>
    <x v="0"/>
    <d v="2024-11-29T00:00:00"/>
    <x v="0"/>
    <x v="0"/>
    <x v="1"/>
    <s v="Yes"/>
    <x v="0"/>
    <s v="Yes"/>
    <n v="20"/>
    <n v="3"/>
    <n v="62"/>
  </r>
  <r>
    <n v="3509"/>
    <s v="Oscar Martins"/>
    <x v="2"/>
    <d v="2024-11-30T00:00:00"/>
    <x v="1"/>
    <x v="2"/>
    <x v="0"/>
    <s v="No"/>
    <x v="1"/>
    <s v="Yes"/>
    <n v="20"/>
    <n v="10"/>
    <n v="20"/>
  </r>
  <r>
    <n v="3510"/>
    <s v="Patrícia Oliveira"/>
    <x v="1"/>
    <d v="2024-12-01T00:00:00"/>
    <x v="0"/>
    <x v="1"/>
    <x v="2"/>
    <s v="No"/>
    <x v="1"/>
    <s v="No"/>
    <n v="0"/>
    <n v="0"/>
    <n v="5"/>
  </r>
  <r>
    <n v="3511"/>
    <s v="Quentin Nogueira"/>
    <x v="0"/>
    <d v="2024-12-02T00:00:00"/>
    <x v="1"/>
    <x v="0"/>
    <x v="0"/>
    <s v="Yes"/>
    <x v="0"/>
    <s v="Yes"/>
    <n v="20"/>
    <n v="15"/>
    <n v="50"/>
  </r>
  <r>
    <n v="3512"/>
    <s v="Raquel Silva"/>
    <x v="2"/>
    <d v="2024-12-03T00:00:00"/>
    <x v="0"/>
    <x v="2"/>
    <x v="1"/>
    <s v="No"/>
    <x v="1"/>
    <s v="Yes"/>
    <n v="20"/>
    <n v="15"/>
    <n v="15"/>
  </r>
  <r>
    <n v="3513"/>
    <s v="Sandro Gomes"/>
    <x v="1"/>
    <d v="2024-12-04T00:00:00"/>
    <x v="1"/>
    <x v="1"/>
    <x v="0"/>
    <s v="No"/>
    <x v="1"/>
    <s v="No"/>
    <n v="0"/>
    <n v="1"/>
    <n v="4"/>
  </r>
  <r>
    <n v="3514"/>
    <s v="Tânia Machado"/>
    <x v="0"/>
    <d v="2024-12-05T00:00:00"/>
    <x v="0"/>
    <x v="0"/>
    <x v="2"/>
    <s v="Yes"/>
    <x v="0"/>
    <s v="Yes"/>
    <n v="20"/>
    <n v="7"/>
    <n v="58"/>
  </r>
  <r>
    <n v="3515"/>
    <s v="Ursula Silva"/>
    <x v="2"/>
    <d v="2024-12-06T00:00:00"/>
    <x v="1"/>
    <x v="2"/>
    <x v="0"/>
    <s v="No"/>
    <x v="1"/>
    <s v="Yes"/>
    <n v="20"/>
    <n v="10"/>
    <n v="20"/>
  </r>
  <r>
    <n v="3516"/>
    <s v="Vanessa Moraes"/>
    <x v="1"/>
    <d v="2024-12-07T00:00:00"/>
    <x v="0"/>
    <x v="1"/>
    <x v="1"/>
    <s v="No"/>
    <x v="1"/>
    <s v="No"/>
    <n v="0"/>
    <n v="0"/>
    <n v="5"/>
  </r>
  <r>
    <n v="3517"/>
    <s v="William Carvalho"/>
    <x v="0"/>
    <d v="2024-12-08T00:00:00"/>
    <x v="1"/>
    <x v="0"/>
    <x v="0"/>
    <s v="Yes"/>
    <x v="0"/>
    <s v="Yes"/>
    <n v="20"/>
    <n v="20"/>
    <n v="45"/>
  </r>
  <r>
    <n v="3518"/>
    <s v="Xavier Reis"/>
    <x v="2"/>
    <d v="2024-12-09T00:00:00"/>
    <x v="0"/>
    <x v="2"/>
    <x v="2"/>
    <s v="No"/>
    <x v="1"/>
    <s v="Yes"/>
    <n v="20"/>
    <n v="12"/>
    <n v="18"/>
  </r>
  <r>
    <n v="3519"/>
    <s v="Yasmin Rocha"/>
    <x v="1"/>
    <d v="2024-12-10T00:00:00"/>
    <x v="1"/>
    <x v="1"/>
    <x v="0"/>
    <s v="No"/>
    <x v="1"/>
    <s v="No"/>
    <n v="0"/>
    <n v="2"/>
    <n v="3"/>
  </r>
  <r>
    <n v="3520"/>
    <s v="Zacarias Duarte"/>
    <x v="0"/>
    <d v="2024-12-11T00:00:00"/>
    <x v="0"/>
    <x v="0"/>
    <x v="1"/>
    <s v="Yes"/>
    <x v="0"/>
    <s v="Yes"/>
    <n v="20"/>
    <n v="5"/>
    <n v="60"/>
  </r>
  <r>
    <n v="3521"/>
    <s v="Amanda Freitas"/>
    <x v="2"/>
    <d v="2024-12-12T00:00:00"/>
    <x v="1"/>
    <x v="2"/>
    <x v="0"/>
    <s v="No"/>
    <x v="1"/>
    <s v="Yes"/>
    <n v="20"/>
    <n v="10"/>
    <n v="20"/>
  </r>
  <r>
    <n v="3522"/>
    <s v="Bruno Almeida"/>
    <x v="1"/>
    <d v="2024-12-13T00:00:00"/>
    <x v="0"/>
    <x v="1"/>
    <x v="2"/>
    <s v="No"/>
    <x v="1"/>
    <s v="No"/>
    <n v="0"/>
    <n v="0"/>
    <n v="5"/>
  </r>
  <r>
    <n v="3523"/>
    <s v="Carla Siqueira"/>
    <x v="0"/>
    <d v="2024-12-14T00:00:00"/>
    <x v="1"/>
    <x v="0"/>
    <x v="0"/>
    <s v="Yes"/>
    <x v="0"/>
    <s v="Yes"/>
    <n v="20"/>
    <n v="3"/>
    <n v="62"/>
  </r>
  <r>
    <n v="3524"/>
    <s v="Diogo Ramos"/>
    <x v="2"/>
    <d v="2024-12-15T00:00:00"/>
    <x v="0"/>
    <x v="2"/>
    <x v="1"/>
    <s v="No"/>
    <x v="1"/>
    <s v="Yes"/>
    <n v="20"/>
    <n v="15"/>
    <n v="15"/>
  </r>
  <r>
    <n v="3525"/>
    <s v="Elisa Magalhães"/>
    <x v="1"/>
    <d v="2024-12-16T00:00:00"/>
    <x v="1"/>
    <x v="1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CFE8F-744B-461A-8FB3-7D05C1264FF1}" name="Tabela dinâ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0:C3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90365-3F83-47F8-BF5F-E1F2E2F8D910}" name="tbl_easeasonpass_total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8:C2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526BF-5E87-4C07-92CB-996859E1E869}" name="tbl_annual_total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9:C12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69795CB-F9BB-4B54-B31D-B05D1DBE0D65}" sourceName="Subscription Type">
  <pivotTables>
    <pivotTable tabId="3" name="tbl_annual_total"/>
    <pivotTable tabId="3" name="tbl_easeasonpass_total"/>
    <pivotTable tabId="3" name="Tabela dinâmica3"/>
  </pivotTables>
  <data>
    <tabular pivotCacheId="1921113639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F685225-68F4-48C6-8349-DEC55AF5C91F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6" sqref="B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34"/>
  <sheetViews>
    <sheetView showGridLines="0" workbookViewId="0">
      <selection activeCell="B6" sqref="B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7.710937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6" x14ac:dyDescent="0.25">
      <c r="B2" s="15" t="s">
        <v>313</v>
      </c>
      <c r="C2" s="15"/>
      <c r="D2" s="15"/>
      <c r="E2" s="15"/>
      <c r="F2" s="15"/>
    </row>
    <row r="4" spans="2:6" x14ac:dyDescent="0.25">
      <c r="B4" t="s">
        <v>314</v>
      </c>
    </row>
    <row r="5" spans="2:6" x14ac:dyDescent="0.25">
      <c r="B5" t="s">
        <v>315</v>
      </c>
    </row>
    <row r="7" spans="2:6" x14ac:dyDescent="0.25">
      <c r="B7" s="12" t="s">
        <v>16</v>
      </c>
      <c r="C7" t="s">
        <v>24</v>
      </c>
    </row>
    <row r="9" spans="2:6" x14ac:dyDescent="0.25">
      <c r="B9" s="12" t="s">
        <v>317</v>
      </c>
      <c r="C9" t="s">
        <v>316</v>
      </c>
    </row>
    <row r="10" spans="2:6" x14ac:dyDescent="0.25">
      <c r="B10" s="14" t="s">
        <v>23</v>
      </c>
      <c r="C10" s="13">
        <v>217</v>
      </c>
    </row>
    <row r="11" spans="2:6" x14ac:dyDescent="0.25">
      <c r="B11" s="14" t="s">
        <v>19</v>
      </c>
      <c r="C11" s="13">
        <v>1537</v>
      </c>
    </row>
    <row r="12" spans="2:6" x14ac:dyDescent="0.25">
      <c r="B12" s="14" t="s">
        <v>318</v>
      </c>
      <c r="C12" s="13">
        <v>1754</v>
      </c>
    </row>
    <row r="14" spans="2:6" x14ac:dyDescent="0.25">
      <c r="B14" s="14" t="s">
        <v>322</v>
      </c>
    </row>
    <row r="16" spans="2:6" x14ac:dyDescent="0.25">
      <c r="B16" s="12" t="s">
        <v>16</v>
      </c>
      <c r="C16" t="s">
        <v>24</v>
      </c>
    </row>
    <row r="18" spans="2:5" x14ac:dyDescent="0.25">
      <c r="B18" s="12" t="s">
        <v>317</v>
      </c>
      <c r="C18" t="s">
        <v>320</v>
      </c>
    </row>
    <row r="19" spans="2:5" x14ac:dyDescent="0.25">
      <c r="B19" s="14" t="s">
        <v>22</v>
      </c>
      <c r="C19" s="17">
        <v>0</v>
      </c>
    </row>
    <row r="20" spans="2:5" x14ac:dyDescent="0.25">
      <c r="B20" s="14" t="s">
        <v>26</v>
      </c>
      <c r="C20" s="17">
        <v>0</v>
      </c>
    </row>
    <row r="21" spans="2:5" x14ac:dyDescent="0.25">
      <c r="B21" s="14" t="s">
        <v>18</v>
      </c>
      <c r="C21" s="17">
        <v>600</v>
      </c>
    </row>
    <row r="22" spans="2:5" x14ac:dyDescent="0.25">
      <c r="B22" s="14" t="s">
        <v>318</v>
      </c>
      <c r="C22" s="17">
        <v>600</v>
      </c>
      <c r="E22" s="18">
        <f>GETPIVOTDATA("EA Play Season Pass
Price",$B$18)</f>
        <v>600</v>
      </c>
    </row>
    <row r="25" spans="2:5" x14ac:dyDescent="0.25">
      <c r="B25" s="14" t="s">
        <v>321</v>
      </c>
    </row>
    <row r="28" spans="2:5" x14ac:dyDescent="0.25">
      <c r="B28" s="12" t="s">
        <v>16</v>
      </c>
      <c r="C28" t="s">
        <v>24</v>
      </c>
    </row>
    <row r="30" spans="2:5" x14ac:dyDescent="0.25">
      <c r="B30" s="12" t="s">
        <v>317</v>
      </c>
      <c r="C30" t="s">
        <v>323</v>
      </c>
    </row>
    <row r="31" spans="2:5" x14ac:dyDescent="0.25">
      <c r="B31" s="14" t="s">
        <v>22</v>
      </c>
      <c r="C31" s="13">
        <v>0</v>
      </c>
    </row>
    <row r="32" spans="2:5" x14ac:dyDescent="0.25">
      <c r="B32" s="14" t="s">
        <v>26</v>
      </c>
      <c r="C32" s="13">
        <v>540</v>
      </c>
    </row>
    <row r="33" spans="2:5" x14ac:dyDescent="0.25">
      <c r="B33" s="14" t="s">
        <v>18</v>
      </c>
      <c r="C33" s="13">
        <v>400</v>
      </c>
    </row>
    <row r="34" spans="2:5" x14ac:dyDescent="0.25">
      <c r="B34" s="14" t="s">
        <v>318</v>
      </c>
      <c r="C34" s="13">
        <v>940</v>
      </c>
      <c r="E34" s="18">
        <f>GETPIVOTDATA("Minecraft Season Pass Price",$B$30)</f>
        <v>940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R361"/>
  <sheetViews>
    <sheetView showGridLines="0" showRowColHeaders="0" tabSelected="1" zoomScale="130" zoomScaleNormal="130" workbookViewId="0">
      <selection activeCell="U19" sqref="U19"/>
    </sheetView>
  </sheetViews>
  <sheetFormatPr defaultRowHeight="15" x14ac:dyDescent="0.25"/>
  <cols>
    <col min="1" max="1" width="27.85546875" style="4" customWidth="1"/>
    <col min="2" max="2" width="3.5703125" customWidth="1"/>
    <col min="12" max="12" width="6.5703125" customWidth="1"/>
  </cols>
  <sheetData>
    <row r="2" spans="1:18" ht="39" customHeight="1" thickBot="1" x14ac:dyDescent="0.5">
      <c r="C2" s="19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25.5" customHeight="1" thickTop="1" x14ac:dyDescent="0.25"/>
    <row r="4" spans="1:18" s="7" customFormat="1" ht="7.5" customHeight="1" x14ac:dyDescent="0.25">
      <c r="A4" s="4"/>
    </row>
    <row r="5" spans="1:18" s="7" customFormat="1" ht="10.5" customHeight="1" x14ac:dyDescent="0.25">
      <c r="A5" s="4"/>
    </row>
    <row r="6" spans="1:18" s="7" customFormat="1" ht="9.75" customHeight="1" x14ac:dyDescent="0.25">
      <c r="A6" s="4"/>
    </row>
    <row r="7" spans="1:18" s="7" customFormat="1" ht="33" customHeight="1" x14ac:dyDescent="0.25">
      <c r="A7" s="4"/>
    </row>
    <row r="8" spans="1:18" s="7" customFormat="1" x14ac:dyDescent="0.25">
      <c r="A8" s="4"/>
    </row>
    <row r="9" spans="1:18" s="7" customFormat="1" x14ac:dyDescent="0.25">
      <c r="A9" s="4"/>
    </row>
    <row r="10" spans="1:18" s="7" customFormat="1" x14ac:dyDescent="0.25">
      <c r="A10" s="4"/>
    </row>
    <row r="11" spans="1:18" s="7" customFormat="1" x14ac:dyDescent="0.25">
      <c r="A11" s="4"/>
    </row>
    <row r="12" spans="1:18" s="7" customFormat="1" x14ac:dyDescent="0.25">
      <c r="A12" s="4"/>
    </row>
    <row r="13" spans="1:18" s="7" customFormat="1" x14ac:dyDescent="0.25">
      <c r="A13" s="4"/>
    </row>
    <row r="14" spans="1:18" s="7" customFormat="1" x14ac:dyDescent="0.25">
      <c r="A14" s="4"/>
    </row>
    <row r="15" spans="1:18" s="7" customFormat="1" x14ac:dyDescent="0.25">
      <c r="A15" s="4"/>
    </row>
    <row r="16" spans="1:18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4.xml><?xml version="1.0" encoding="utf-8"?>
<ds:datastoreItem xmlns:ds="http://schemas.openxmlformats.org/officeDocument/2006/customXml" ds:itemID="{ECEE3C6A-3521-49A4-8BAE-1864924697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Gabriel miranda</cp:lastModifiedBy>
  <dcterms:created xsi:type="dcterms:W3CDTF">2024-12-19T13:13:10Z</dcterms:created>
  <dcterms:modified xsi:type="dcterms:W3CDTF">2025-09-23T20:50:30Z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